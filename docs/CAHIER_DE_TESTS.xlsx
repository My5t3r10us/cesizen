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1. Stratégie" sheetId="2" state="visible" r:id="rId2"/>
    <sheet xmlns:r="http://schemas.openxmlformats.org/officeDocument/2006/relationships" name="2. Environnements" sheetId="3" state="visible" r:id="rId3"/>
    <sheet xmlns:r="http://schemas.openxmlformats.org/officeDocument/2006/relationships" name="3. Données de test" sheetId="4" state="visible" r:id="rId4"/>
    <sheet xmlns:r="http://schemas.openxmlformats.org/officeDocument/2006/relationships" name="4. Critères E-S" sheetId="5" state="visible" r:id="rId5"/>
    <sheet xmlns:r="http://schemas.openxmlformats.org/officeDocument/2006/relationships" name="5. Matrice" sheetId="6" state="visible" r:id="rId6"/>
    <sheet xmlns:r="http://schemas.openxmlformats.org/officeDocument/2006/relationships" name="All" sheetId="7" state="visible" r:id="rId7"/>
    <sheet xmlns:r="http://schemas.openxmlformats.org/officeDocument/2006/relationships" name="6. AUTH" sheetId="8" state="visible" r:id="rId8"/>
    <sheet xmlns:r="http://schemas.openxmlformats.org/officeDocument/2006/relationships" name="7. JRN" sheetId="9" state="visible" r:id="rId9"/>
    <sheet xmlns:r="http://schemas.openxmlformats.org/officeDocument/2006/relationships" name="8. STAT" sheetId="10" state="visible" r:id="rId10"/>
    <sheet xmlns:r="http://schemas.openxmlformats.org/officeDocument/2006/relationships" name="9. CONS" sheetId="11" state="visible" r:id="rId11"/>
    <sheet xmlns:r="http://schemas.openxmlformats.org/officeDocument/2006/relationships" name="10. ADM" sheetId="12" state="visible" r:id="rId12"/>
    <sheet xmlns:r="http://schemas.openxmlformats.org/officeDocument/2006/relationships" name="11. MOB" sheetId="13" state="visible" r:id="rId13"/>
    <sheet xmlns:r="http://schemas.openxmlformats.org/officeDocument/2006/relationships" name="12. SEC" sheetId="14" state="visible" r:id="rId14"/>
    <sheet xmlns:r="http://schemas.openxmlformats.org/officeDocument/2006/relationships" name="14. EMO" sheetId="15" state="visible" r:id="rId15"/>
    <sheet xmlns:r="http://schemas.openxmlformats.org/officeDocument/2006/relationships" name="13. Régression" sheetId="16" state="visible" r:id="rId16"/>
    <sheet xmlns:r="http://schemas.openxmlformats.org/officeDocument/2006/relationships" name="Annexe A" sheetId="17" state="visible" r:id="rId17"/>
    <sheet xmlns:r="http://schemas.openxmlformats.org/officeDocument/2006/relationships" name="Annexe B" sheetId="18" state="visible" r:id="rId18"/>
  </sheets>
  <definedNames>
    <definedName name="_xlnm._FilterDatabase" localSheetId="5" hidden="1">'5. Matrice'!$A$3:$B$15</definedName>
    <definedName name="_xlnm._FilterDatabase" localSheetId="6" hidden="1">'All'!$A$3:$O$101</definedName>
    <definedName name="_xlnm._FilterDatabase" localSheetId="7" hidden="1">'6. AUTH'!$A$3:$N$18</definedName>
    <definedName name="_xlnm._FilterDatabase" localSheetId="8" hidden="1">'7. JRN'!$A$3:$N$23</definedName>
    <definedName name="_xlnm._FilterDatabase" localSheetId="9" hidden="1">'8. STAT'!$A$3:$N$11</definedName>
    <definedName name="_xlnm._FilterDatabase" localSheetId="10" hidden="1">'9. CONS'!$A$3:$N$13</definedName>
    <definedName name="_xlnm._FilterDatabase" localSheetId="11" hidden="1">'10. ADM'!$A$3:$N$21</definedName>
    <definedName name="_xlnm._FilterDatabase" localSheetId="12" hidden="1">'11. MOB'!$A$3:$N$18</definedName>
    <definedName name="_xlnm._FilterDatabase" localSheetId="13" hidden="1">'12. SEC'!$A$3:$N$15</definedName>
    <definedName name="_xlnm._FilterDatabase" localSheetId="15" hidden="1">'13. Régression'!$A$6:$C$23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i val="1"/>
      <sz val="11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3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0563C1"/>
      <sz val="10"/>
      <u val="single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i val="1"/>
      <color rgb="FF595959"/>
      <sz val="9"/>
    </font>
    <font>
      <name val="Calibri"/>
      <charset val="1"/>
      <family val="0"/>
      <b val="1"/>
      <color rgb="FF1F3864"/>
      <sz val="10"/>
    </font>
  </fonts>
  <fills count="6">
    <fill>
      <patternFill/>
    </fill>
    <fill>
      <patternFill patternType="gray125"/>
    </fill>
    <fill>
      <patternFill patternType="solid">
        <fgColor rgb="FF2E75B6"/>
        <bgColor rgb="FF0563C1"/>
      </patternFill>
    </fill>
    <fill>
      <patternFill patternType="solid">
        <fgColor rgb="FFD9E1F2"/>
        <bgColor rgb="FFD5E3F0"/>
      </patternFill>
    </fill>
    <fill>
      <patternFill patternType="solid">
        <fgColor rgb="FF1F3864"/>
        <bgColor rgb="FF1F4E78"/>
      </patternFill>
    </fill>
    <fill>
      <patternFill patternType="solid">
        <fgColor rgb="FFF2F2F2"/>
        <bgColor rgb="FFEDEDED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1">
    <dxf>
      <font>
        <name val="Calibri"/>
        <charset val="1"/>
        <family val="0"/>
        <b val="1"/>
        <color rgb="FFC00000"/>
        <sz val="10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ED7D31"/>
        <sz val="10"/>
      </font>
      <fill>
        <patternFill>
          <bgColor rgb="FFFCE4D6"/>
        </patternFill>
      </fill>
    </dxf>
    <dxf>
      <font>
        <name val="Calibri"/>
        <charset val="1"/>
        <family val="0"/>
        <b val="1"/>
        <color rgb="FF806000"/>
        <sz val="10"/>
      </font>
      <fill>
        <patternFill>
          <bgColor rgb="FFFFF2CC"/>
        </patternFill>
      </fill>
    </dxf>
    <dxf>
      <font>
        <name val="Calibri"/>
        <charset val="1"/>
        <family val="0"/>
        <b val="1"/>
        <color rgb="FF404040"/>
        <sz val="10"/>
      </font>
      <fill>
        <patternFill>
          <bgColor rgb="FFEDEDED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E3F0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385723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806000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ont>
        <name val="Calibri"/>
        <charset val="1"/>
        <family val="0"/>
        <b val="1"/>
        <color rgb="FFC00000"/>
        <sz val="10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ED7D31"/>
        <sz val="10"/>
      </font>
      <fill>
        <patternFill>
          <bgColor rgb="FFFCE4D6"/>
        </patternFill>
      </fill>
    </dxf>
    <dxf>
      <font>
        <name val="Calibri"/>
        <charset val="1"/>
        <family val="0"/>
        <b val="1"/>
        <color rgb="FF806000"/>
        <sz val="10"/>
      </font>
      <fill>
        <patternFill>
          <bgColor rgb="FFFFF2CC"/>
        </patternFill>
      </fill>
    </dxf>
    <dxf>
      <font>
        <name val="Calibri"/>
        <charset val="1"/>
        <family val="0"/>
        <b val="1"/>
        <color rgb="FF404040"/>
        <sz val="10"/>
      </font>
      <fill>
        <patternFill>
          <bgColor rgb="FFEDEDED"/>
        </patternFill>
      </fill>
    </dxf>
    <dxf>
      <font>
        <name val="Calibri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4C2B7C"/>
        <sz val="10"/>
      </font>
      <fill>
        <patternFill>
          <bgColor rgb="FFE4D9F2"/>
        </patternFill>
      </fill>
    </dxf>
    <dxf>
      <font>
        <name val="Calibri"/>
        <charset val="1"/>
        <family val="0"/>
        <b val="1"/>
        <color rgb="FF595959"/>
        <sz val="10"/>
      </font>
      <fill>
        <patternFill>
          <bgColor rgb="FFEDEDED"/>
        </patternFill>
      </fill>
    </dxf>
    <dxf>
      <font>
        <name val="Calibri"/>
        <charset val="1"/>
        <family val="0"/>
        <b val="1"/>
        <color rgb="FF404040"/>
        <sz val="10"/>
      </font>
      <fill>
        <patternFill>
          <bgColor rgb="FFFFFFFF"/>
        </patternFill>
      </fill>
    </dxf>
    <dxf>
      <font>
        <name val="Calibri"/>
        <charset val="1"/>
        <family val="0"/>
        <b val="1"/>
        <color rgb="FF1F3864"/>
        <sz val="10"/>
      </font>
      <fill>
        <patternFill>
          <bgColor rgb="FFD9E1F2"/>
        </patternFill>
      </fill>
    </dxf>
    <dxf>
      <font>
        <name val="Calibri"/>
        <charset val="1"/>
        <family val="0"/>
        <b val="1"/>
        <color rgb="FF385723"/>
        <sz val="10"/>
      </font>
      <fill>
        <patternFill>
          <bgColor rgb="FFE2EFDA"/>
        </patternFill>
      </fill>
    </dxf>
    <dxf>
      <font>
        <name val="Calibri"/>
        <charset val="1"/>
        <family val="0"/>
        <b val="1"/>
        <color rgb="FF843C0C"/>
        <sz val="10"/>
      </font>
      <fill>
        <patternFill>
          <bgColor rgb="FFFCE4D6"/>
        </patternFill>
      </fill>
    </dxf>
    <dxf>
      <font>
        <name val="Calibri"/>
        <charset val="1"/>
        <family val="0"/>
        <b val="1"/>
        <color rgb="FF1F4E78"/>
        <sz val="10"/>
      </font>
      <fill>
        <patternFill>
          <bgColor rgb="FFD5E3F0"/>
        </patternFill>
      </fill>
    </dxf>
    <dxf>
      <font>
        <name val="Calibri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4C2B7C"/>
        <sz val="10"/>
      </font>
      <fill>
        <patternFill>
          <bgColor rgb="FFE4D9F2"/>
        </patternFill>
      </fill>
    </dxf>
    <dxf>
      <font>
        <name val="Calibri"/>
        <charset val="1"/>
        <family val="0"/>
        <b val="1"/>
        <color rgb="FF595959"/>
        <sz val="10"/>
      </font>
      <fill>
        <patternFill>
          <bgColor rgb="FFEDEDED"/>
        </patternFill>
      </fill>
    </dxf>
    <dxf>
      <font>
        <name val="Calibri"/>
        <charset val="1"/>
        <family val="0"/>
        <b val="1"/>
        <color rgb="FF404040"/>
        <sz val="10"/>
      </font>
      <fill>
        <patternFill>
          <bgColor rgb="FFFFFFFF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6000"/>
      <rgbColor rgb="FF800080"/>
      <rgbColor rgb="FF1F4E78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563C1"/>
      <rgbColor rgb="FFE4D9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3F0"/>
      <rgbColor rgb="FFC6EFCE"/>
      <rgbColor rgb="FFFCE4D6"/>
      <rgbColor rgb="FFD9E1F2"/>
      <rgbColor rgb="FFEDEDED"/>
      <rgbColor rgb="FFF2F2F2"/>
      <rgbColor rgb="FFFFC7CE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85723"/>
      <rgbColor rgb="FF843C0C"/>
      <rgbColor rgb="FF993366"/>
      <rgbColor rgb="FF4C2B7C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CAHIER_DE_TESTS.xlsx" TargetMode="External" Id="rId1"/><Relationship Type="http://schemas.openxmlformats.org/officeDocument/2006/relationships/hyperlink" Target="CAHIER_DE_TESTS.xlsx" TargetMode="External" Id="rId2"/><Relationship Type="http://schemas.openxmlformats.org/officeDocument/2006/relationships/hyperlink" Target="CAHIER_DE_TESTS.xlsx" TargetMode="External" Id="rId3"/><Relationship Type="http://schemas.openxmlformats.org/officeDocument/2006/relationships/hyperlink" Target="CAHIER_DE_TESTS.xlsx" TargetMode="External" Id="rId4"/><Relationship Type="http://schemas.openxmlformats.org/officeDocument/2006/relationships/hyperlink" Target="CAHIER_DE_TESTS.xlsx" TargetMode="External" Id="rId5"/><Relationship Type="http://schemas.openxmlformats.org/officeDocument/2006/relationships/hyperlink" Target="CAHIER_DE_TESTS.xlsx" TargetMode="External" Id="rId6"/><Relationship Type="http://schemas.openxmlformats.org/officeDocument/2006/relationships/hyperlink" Target="CAHIER_DE_TESTS.xlsx" TargetMode="External" Id="rId7"/><Relationship Type="http://schemas.openxmlformats.org/officeDocument/2006/relationships/hyperlink" Target="CAHIER_DE_TESTS.xlsx" TargetMode="External" Id="rId8"/><Relationship Type="http://schemas.openxmlformats.org/officeDocument/2006/relationships/hyperlink" Target="CAHIER_DE_TESTS.xlsx" TargetMode="External" Id="rId9"/><Relationship Type="http://schemas.openxmlformats.org/officeDocument/2006/relationships/hyperlink" Target="CAHIER_DE_TESTS.xlsx" TargetMode="External" Id="rId10"/><Relationship Type="http://schemas.openxmlformats.org/officeDocument/2006/relationships/hyperlink" Target="CAHIER_DE_TESTS.xlsx" TargetMode="External" Id="rId11"/><Relationship Type="http://schemas.openxmlformats.org/officeDocument/2006/relationships/hyperlink" Target="CAHIER_DE_TESTS.xlsx" TargetMode="External" Id="rId12"/><Relationship Type="http://schemas.openxmlformats.org/officeDocument/2006/relationships/hyperlink" Target="CAHIER_DE_TESTS.xlsx" TargetMode="External" Id="rId13"/><Relationship Type="http://schemas.openxmlformats.org/officeDocument/2006/relationships/hyperlink" Target="CAHIER_DE_TESTS.xlsx" TargetMode="External" Id="rId14"/><Relationship Type="http://schemas.openxmlformats.org/officeDocument/2006/relationships/hyperlink" Target="CAHIER_DE_TESTS.xlsx" TargetMode="External" Id="rId15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19" min="1" max="1"/>
    <col width="70" customWidth="1" style="19" min="2" max="2"/>
    <col width="20" customWidth="1" style="19" min="3" max="4"/>
  </cols>
  <sheetData>
    <row r="1" ht="27.75" customHeight="1" s="20">
      <c r="A1" s="21" t="inlineStr">
        <is>
          <t>CAHIER DE TESTS — CESIZen</t>
        </is>
      </c>
    </row>
    <row r="3" ht="15" customHeight="1" s="20">
      <c r="A3" s="22" t="inlineStr">
        <is>
          <t>Référentiel formel des cas de test couvrant l'ensemble de l'application (web Next.js, API REST, mobile Expo).</t>
        </is>
      </c>
    </row>
    <row r="5" ht="15" customHeight="1" s="20">
      <c r="A5" s="23" t="inlineStr">
        <is>
          <t>Version</t>
        </is>
      </c>
      <c r="B5" s="24" t="inlineStr">
        <is>
          <t>1.0</t>
        </is>
      </c>
      <c r="C5" s="25" t="n"/>
      <c r="D5" s="26" t="n"/>
    </row>
    <row r="6" ht="15" customHeight="1" s="20">
      <c r="A6" s="23" t="inlineStr">
        <is>
          <t>Date</t>
        </is>
      </c>
      <c r="B6" s="24" t="inlineStr">
        <is>
          <t>2026-05-04</t>
        </is>
      </c>
      <c r="C6" s="25" t="n"/>
      <c r="D6" s="26" t="n"/>
    </row>
    <row r="7" ht="15" customHeight="1" s="20">
      <c r="A7" s="23" t="inlineStr">
        <is>
          <t>Périmètre</t>
        </is>
      </c>
      <c r="B7" s="24" t="inlineStr">
        <is>
          <t>Application CESIZen — toutes surfaces</t>
        </is>
      </c>
      <c r="C7" s="25" t="n"/>
      <c r="D7" s="26" t="n"/>
    </row>
    <row r="8" ht="15" customHeight="1" s="20">
      <c r="A8" s="23" t="inlineStr">
        <is>
          <t>Références</t>
        </is>
      </c>
      <c r="B8" s="24" t="inlineStr">
        <is>
          <t>FLUX_DONNEES.md, TESTS_ET_CI.md, README.md</t>
        </is>
      </c>
      <c r="C8" s="25" t="n"/>
      <c r="D8" s="26" t="n"/>
    </row>
    <row r="9" ht="15" customHeight="1" s="20">
      <c r="A9" s="23" t="inlineStr">
        <is>
          <t>Norme</t>
        </is>
      </c>
      <c r="B9" s="24" t="inlineStr">
        <is>
          <t>Inspiré ISO/IEC/IEEE 29119 (simplifié)</t>
        </is>
      </c>
      <c r="C9" s="25" t="n"/>
      <c r="D9" s="26" t="n"/>
    </row>
    <row r="12" ht="15.75" customHeight="1" s="20">
      <c r="A12" s="27" t="inlineStr">
        <is>
          <t>SOMMAIRE</t>
        </is>
      </c>
    </row>
    <row r="13" ht="15" customHeight="1" s="20">
      <c r="A13" s="28" t="inlineStr">
        <is>
          <t>Onglet</t>
        </is>
      </c>
      <c r="B13" s="28" t="inlineStr">
        <is>
          <t>Description</t>
        </is>
      </c>
    </row>
    <row r="14" ht="15" customHeight="1" s="20">
      <c r="A14" s="29" t="inlineStr">
        <is>
          <t>1. Stratégie</t>
        </is>
      </c>
      <c r="B14" s="30" t="inlineStr">
        <is>
          <t>1. Stratégie de test</t>
        </is>
      </c>
    </row>
    <row r="15" ht="15" customHeight="1" s="20">
      <c r="A15" s="29" t="inlineStr">
        <is>
          <t>2. Environnements</t>
        </is>
      </c>
      <c r="B15" s="30" t="inlineStr">
        <is>
          <t>Environnements et versions cibles</t>
        </is>
      </c>
    </row>
    <row r="16" ht="15" customHeight="1" s="20">
      <c r="A16" s="29" t="inlineStr">
        <is>
          <t>3. Données de test</t>
        </is>
      </c>
      <c r="B16" s="30" t="inlineStr">
        <is>
          <t>Comptes pré-provisionnés, émotions et articles seed</t>
        </is>
      </c>
    </row>
    <row r="17" ht="15" customHeight="1" s="20">
      <c r="A17" s="29" t="inlineStr">
        <is>
          <t>4. Critères E-S</t>
        </is>
      </c>
      <c r="B17" s="30" t="inlineStr">
        <is>
          <t>Critères d'entrée et de sortie</t>
        </is>
      </c>
    </row>
    <row r="18" ht="15" customHeight="1" s="20">
      <c r="A18" s="29" t="inlineStr">
        <is>
          <t>5. Matrice</t>
        </is>
      </c>
      <c r="B18" s="30" t="inlineStr">
        <is>
          <t>Matrice de couverture exigences ↔ tests</t>
        </is>
      </c>
    </row>
    <row r="19" ht="15" customHeight="1" s="20">
      <c r="A19" s="29" t="inlineStr">
        <is>
          <t>6. AUTH</t>
        </is>
      </c>
      <c r="B19" s="30" t="inlineStr">
        <is>
          <t>Cas de test — Authentification (15)</t>
        </is>
      </c>
    </row>
    <row r="20" ht="15" customHeight="1" s="20">
      <c r="A20" s="29" t="inlineStr">
        <is>
          <t>7. JRN</t>
        </is>
      </c>
      <c r="B20" s="30" t="inlineStr">
        <is>
          <t>Cas de test — Journal émotionnel (20)</t>
        </is>
      </c>
    </row>
    <row r="21" ht="15" customHeight="1" s="20">
      <c r="A21" s="29" t="inlineStr">
        <is>
          <t>8. STAT</t>
        </is>
      </c>
      <c r="B21" s="30" t="inlineStr">
        <is>
          <t>Cas de test — Statistiques (8)</t>
        </is>
      </c>
    </row>
    <row r="22" ht="15" customHeight="1" s="20">
      <c r="A22" s="29" t="inlineStr">
        <is>
          <t>9. CONS</t>
        </is>
      </c>
      <c r="B22" s="30" t="inlineStr">
        <is>
          <t>Cas de test — Conseils / Articles (10)</t>
        </is>
      </c>
    </row>
    <row r="23" ht="15" customHeight="1" s="20">
      <c r="A23" s="29" t="inlineStr">
        <is>
          <t>10. ADM</t>
        </is>
      </c>
      <c r="B23" s="30" t="inlineStr">
        <is>
          <t>Cas de test — Administration (18)</t>
        </is>
      </c>
    </row>
    <row r="24" ht="15" customHeight="1" s="20">
      <c r="A24" s="29" t="inlineStr">
        <is>
          <t>11. MOB</t>
        </is>
      </c>
      <c r="B24" s="30" t="inlineStr">
        <is>
          <t>Cas de test — Mobile spécifique (15)</t>
        </is>
      </c>
    </row>
    <row r="25" ht="15" customHeight="1" s="20">
      <c r="A25" s="29" t="inlineStr">
        <is>
          <t>12. SEC</t>
        </is>
      </c>
      <c r="B25" s="30" t="inlineStr">
        <is>
          <t>Cas de test — Sécurité (12)</t>
        </is>
      </c>
    </row>
    <row r="26" ht="15" customHeight="1" s="20">
      <c r="A26" s="29" t="inlineStr">
        <is>
          <t>13. Régression</t>
        </is>
      </c>
      <c r="B26" s="30" t="inlineStr">
        <is>
          <t>Plan de régression</t>
        </is>
      </c>
    </row>
    <row r="27" ht="15" customHeight="1" s="20">
      <c r="A27" s="29" t="inlineStr">
        <is>
          <t>Annexe A</t>
        </is>
      </c>
      <c r="B27" s="30" t="inlineStr">
        <is>
          <t>Modèle de fiche d'anomalie</t>
        </is>
      </c>
    </row>
    <row r="28" ht="15" customHeight="1" s="20">
      <c r="A28" s="29" t="inlineStr">
        <is>
          <t>Annexe B</t>
        </is>
      </c>
      <c r="B28" s="30" t="inlineStr">
        <is>
          <t>Classification des anomalies</t>
        </is>
      </c>
    </row>
  </sheetData>
  <mergeCells count="7">
    <mergeCell ref="A1:D1"/>
    <mergeCell ref="B5:D5"/>
    <mergeCell ref="B8:D8"/>
    <mergeCell ref="A3:D3"/>
    <mergeCell ref="B9:D9"/>
    <mergeCell ref="B7:D7"/>
    <mergeCell ref="B6:D6"/>
  </mergeCells>
  <hyperlinks>
    <hyperlink xmlns:r="http://schemas.openxmlformats.org/officeDocument/2006/relationships" ref="A14" location="'1.%20Stratégie'!A1" display="1. Stratégie" r:id="rId1"/>
    <hyperlink xmlns:r="http://schemas.openxmlformats.org/officeDocument/2006/relationships" ref="A15" location="'2.%20Environnements'!A1" display="2. Environnements" r:id="rId2"/>
    <hyperlink xmlns:r="http://schemas.openxmlformats.org/officeDocument/2006/relationships" ref="A16" location="'3.%20Données%20de%20test'!A1" display="3. Données de test" r:id="rId3"/>
    <hyperlink xmlns:r="http://schemas.openxmlformats.org/officeDocument/2006/relationships" ref="A17" location="'4.%20Critères%20E-S'!A1" display="4. Critères E-S" r:id="rId4"/>
    <hyperlink xmlns:r="http://schemas.openxmlformats.org/officeDocument/2006/relationships" ref="A18" location="'5.%20Matrice'!A1" display="5. Matrice" r:id="rId5"/>
    <hyperlink xmlns:r="http://schemas.openxmlformats.org/officeDocument/2006/relationships" ref="A19" location="'6.%20AUTH'!A1" display="6. AUTH" r:id="rId6"/>
    <hyperlink xmlns:r="http://schemas.openxmlformats.org/officeDocument/2006/relationships" ref="A20" location="'7.%20JRN'!A1" display="7. JRN" r:id="rId7"/>
    <hyperlink xmlns:r="http://schemas.openxmlformats.org/officeDocument/2006/relationships" ref="A21" location="'8.%20STAT'!A1" display="8. STAT" r:id="rId8"/>
    <hyperlink xmlns:r="http://schemas.openxmlformats.org/officeDocument/2006/relationships" ref="A22" location="'9.%20CONS'!A1" display="9. CONS" r:id="rId9"/>
    <hyperlink xmlns:r="http://schemas.openxmlformats.org/officeDocument/2006/relationships" ref="A23" location="'10.%20ADM'!A1" display="10. ADM" r:id="rId10"/>
    <hyperlink xmlns:r="http://schemas.openxmlformats.org/officeDocument/2006/relationships" ref="A24" location="'11.%20MOB'!A1" display="11. MOB" r:id="rId11"/>
    <hyperlink xmlns:r="http://schemas.openxmlformats.org/officeDocument/2006/relationships" ref="A25" location="'12.%20SEC'!A1" display="12. SEC" r:id="rId12"/>
    <hyperlink xmlns:r="http://schemas.openxmlformats.org/officeDocument/2006/relationships" ref="A26" location="'13.%20Régression'!A1" display="13. Régression" r:id="rId13"/>
    <hyperlink xmlns:r="http://schemas.openxmlformats.org/officeDocument/2006/relationships" ref="A27" location="'Annexe%20A'!A1" display="Annexe A" r:id="rId14"/>
    <hyperlink xmlns:r="http://schemas.openxmlformats.org/officeDocument/2006/relationships" ref="A28" location="'Annexe%20B'!A1" display="Annexe B" r:id="rId1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19" min="1" max="1"/>
    <col width="50" customWidth="1" style="19" min="2" max="2"/>
    <col width="60" customWidth="1" style="19" min="3" max="3"/>
  </cols>
  <sheetData>
    <row r="1" ht="27.75" customHeight="1" s="20">
      <c r="A1" s="21" t="inlineStr">
        <is>
          <t>1. Stratégie de test</t>
        </is>
      </c>
    </row>
    <row r="3" ht="15" customHeight="1" s="20">
      <c r="A3" s="31" t="inlineStr">
        <is>
          <t>1.1 Niveaux de test</t>
        </is>
      </c>
    </row>
    <row r="4" ht="30" customHeight="1" s="20">
      <c r="A4" s="32" t="inlineStr">
        <is>
          <t>Niveau</t>
        </is>
      </c>
      <c r="B4" s="32" t="inlineStr">
        <is>
          <t>Outil</t>
        </is>
      </c>
      <c r="C4" s="32" t="inlineStr">
        <is>
          <t>Pour quoi</t>
        </is>
      </c>
    </row>
    <row r="5" ht="15" customHeight="1" s="20">
      <c r="A5" s="33" t="inlineStr">
        <is>
          <t>Unitaire</t>
        </is>
      </c>
      <c r="B5" s="33" t="inlineStr">
        <is>
          <t>Vitest (web), Jest (mobile)</t>
        </is>
      </c>
      <c r="C5" s="33" t="inlineStr">
        <is>
          <t>Logique pure : hash, chiffrement, validation, helpers</t>
        </is>
      </c>
    </row>
    <row r="6" ht="15" customHeight="1" s="20">
      <c r="A6" s="34" t="inlineStr">
        <is>
          <t>Intégration</t>
        </is>
      </c>
      <c r="B6" s="34" t="inlineStr">
        <is>
          <t>Vitest + Supertest (Route Handlers Next directs)</t>
        </is>
      </c>
      <c r="C6" s="34" t="inlineStr">
        <is>
          <t>Endpoints API + DB + chiffrement bout-en-bout</t>
        </is>
      </c>
    </row>
    <row r="7" ht="15" customHeight="1" s="20">
      <c r="A7" s="33" t="inlineStr">
        <is>
          <t>E2E</t>
        </is>
      </c>
      <c r="B7" s="33" t="inlineStr">
        <is>
          <t>Playwright (web), Maestro (mobile)</t>
        </is>
      </c>
      <c r="C7" s="33" t="inlineStr">
        <is>
          <t>Parcours utilisateur complets multi-pages</t>
        </is>
      </c>
    </row>
    <row r="8" ht="15" customHeight="1" s="20">
      <c r="A8" s="34" t="inlineStr">
        <is>
          <t>Manuel exploratoire</t>
        </is>
      </c>
      <c r="B8" s="34" t="inlineStr">
        <is>
          <t>Humain</t>
        </is>
      </c>
      <c r="C8" s="34" t="inlineStr">
        <is>
          <t>UX, lisibilité, cohérence visuelle</t>
        </is>
      </c>
    </row>
    <row r="10" ht="15" customHeight="1" s="20">
      <c r="A10" s="31" t="inlineStr">
        <is>
          <t>1.2 Types de test</t>
        </is>
      </c>
    </row>
    <row r="11" ht="30" customHeight="1" s="20">
      <c r="A11" s="32" t="inlineStr">
        <is>
          <t>Type</t>
        </is>
      </c>
      <c r="B11" s="32" t="inlineStr">
        <is>
          <t>Description</t>
        </is>
      </c>
    </row>
    <row r="12" ht="15" customHeight="1" s="20">
      <c r="A12" s="33" t="inlineStr">
        <is>
          <t>Fonctionnel</t>
        </is>
      </c>
      <c r="B12" s="33" t="inlineStr">
        <is>
          <t>Comportement métier conforme à la spécification</t>
        </is>
      </c>
    </row>
    <row r="13" ht="15" customHeight="1" s="20">
      <c r="A13" s="34" t="inlineStr">
        <is>
          <t>Sécurité</t>
        </is>
      </c>
      <c r="B13" s="34" t="inlineStr">
        <is>
          <t>RBAC, ownership, chiffrement, JWT, headers</t>
        </is>
      </c>
    </row>
    <row r="14" ht="15" customHeight="1" s="20">
      <c r="A14" s="33" t="inlineStr">
        <is>
          <t>Robustesse</t>
        </is>
      </c>
      <c r="B14" s="33" t="inlineStr">
        <is>
          <t>Gestion des entrées invalides, cas limites, erreurs réseau</t>
        </is>
      </c>
    </row>
    <row r="15" ht="15" customHeight="1" s="20">
      <c r="A15" s="34" t="inlineStr">
        <is>
          <t>Régression</t>
        </is>
      </c>
      <c r="B15" s="34" t="inlineStr">
        <is>
          <t>Sous-ensemble joué à chaque release</t>
        </is>
      </c>
    </row>
    <row r="16" ht="15" customHeight="1" s="20">
      <c r="A16" s="33" t="inlineStr">
        <is>
          <t>Compatibilité</t>
        </is>
      </c>
      <c r="B16" s="33" t="inlineStr">
        <is>
          <t>Chrome / Firefox / Safari (web) ; iOS / Android (mobile)</t>
        </is>
      </c>
    </row>
    <row r="18" ht="15" customHeight="1" s="20">
      <c r="A18" s="31" t="inlineStr">
        <is>
          <t>1.3 Criticité (priorité d'exécution)</t>
        </is>
      </c>
    </row>
    <row r="19" ht="30" customHeight="1" s="20">
      <c r="A19" s="32" t="inlineStr">
        <is>
          <t>Niveau</t>
        </is>
      </c>
      <c r="B19" s="32" t="inlineStr">
        <is>
          <t>Définition</t>
        </is>
      </c>
      <c r="C19" s="32" t="inlineStr">
        <is>
          <t>Exemple</t>
        </is>
      </c>
    </row>
    <row r="20" ht="15" customHeight="1" s="20">
      <c r="A20" s="33" t="inlineStr">
        <is>
          <t>Bloquant</t>
        </is>
      </c>
      <c r="B20" s="33" t="inlineStr">
        <is>
          <t>Échec = pas de mise en prod</t>
        </is>
      </c>
      <c r="C20" s="33" t="inlineStr">
        <is>
          <t>Login impossible, perte de données utilisateur</t>
        </is>
      </c>
    </row>
    <row r="21" ht="15" customHeight="1" s="20">
      <c r="A21" s="34" t="inlineStr">
        <is>
          <t>Haute</t>
        </is>
      </c>
      <c r="B21" s="34" t="inlineStr">
        <is>
          <t>À corriger avant release</t>
        </is>
      </c>
      <c r="C21" s="34" t="inlineStr">
        <is>
          <t>Stats erronées, ban contournable</t>
        </is>
      </c>
    </row>
    <row r="22" ht="15" customHeight="1" s="20">
      <c r="A22" s="33" t="inlineStr">
        <is>
          <t>Moyenne</t>
        </is>
      </c>
      <c r="B22" s="33" t="inlineStr">
        <is>
          <t>À corriger dans la version + 1</t>
        </is>
      </c>
      <c r="C22" s="33" t="inlineStr">
        <is>
          <t>Filtre articles bug, message d'erreur peu clair</t>
        </is>
      </c>
    </row>
    <row r="23" ht="15" customHeight="1" s="20">
      <c r="A23" s="34" t="inlineStr">
        <is>
          <t>Basse</t>
        </is>
      </c>
      <c r="B23" s="34" t="inlineStr">
        <is>
          <t>Backlog</t>
        </is>
      </c>
      <c r="C23" s="34" t="inlineStr">
        <is>
          <t>Animation saccadée, libellé typo</t>
        </is>
      </c>
    </row>
  </sheetData>
  <mergeCells count="1">
    <mergeCell ref="A1:C1"/>
  </mergeCells>
  <conditionalFormatting sqref="A20:A23">
    <cfRule type="cellIs" rank="0" priority="2" equalAverage="0" operator="equal" aboveAverage="0" dxfId="0" text="" percent="0" bottom="0">
      <formula>"Bloquant"</formula>
    </cfRule>
    <cfRule type="cellIs" rank="0" priority="3" equalAverage="0" operator="equal" aboveAverage="0" dxfId="0" text="" percent="0" bottom="0">
      <formula>"Bloquant (sécurité)"</formula>
    </cfRule>
    <cfRule type="cellIs" rank="0" priority="4" equalAverage="0" operator="equal" aboveAverage="0" dxfId="0" text="" percent="0" bottom="0">
      <formula>"Bloquant (RGPD)"</formula>
    </cfRule>
    <cfRule type="cellIs" rank="0" priority="5" equalAverage="0" operator="equal" aboveAverage="0" dxfId="0" text="" percent="0" bottom="0">
      <formula>"Bloquante"</formula>
    </cfRule>
    <cfRule type="cellIs" rank="0" priority="6" equalAverage="0" operator="equal" aboveAverage="0" dxfId="1" text="" percent="0" bottom="0">
      <formula>"Haute"</formula>
    </cfRule>
    <cfRule type="cellIs" rank="0" priority="7" equalAverage="0" operator="equal" aboveAverage="0" dxfId="1" text="" percent="0" bottom="0">
      <formula>"Haute (sécurité)"</formula>
    </cfRule>
    <cfRule type="cellIs" rank="0" priority="8" equalAverage="0" operator="equal" aboveAverage="0" dxfId="1" text="" percent="0" bottom="0">
      <formula>"Majeur"</formula>
    </cfRule>
    <cfRule type="cellIs" rank="0" priority="9" equalAverage="0" operator="equal" aboveAverage="0" dxfId="1" text="" percent="0" bottom="0">
      <formula>"Majeure"</formula>
    </cfRule>
    <cfRule type="cellIs" rank="0" priority="10" equalAverage="0" operator="equal" aboveAverage="0" dxfId="2" text="" percent="0" bottom="0">
      <formula>"Moyenne"</formula>
    </cfRule>
    <cfRule type="cellIs" rank="0" priority="11" equalAverage="0" operator="equal" aboveAverage="0" dxfId="2" text="" percent="0" bottom="0">
      <formula>"Mineur"</formula>
    </cfRule>
    <cfRule type="cellIs" rank="0" priority="12" equalAverage="0" operator="equal" aboveAverage="0" dxfId="2" text="" percent="0" bottom="0">
      <formula>"Mineure"</formula>
    </cfRule>
    <cfRule type="cellIs" rank="0" priority="13" equalAverage="0" operator="equal" aboveAverage="0" dxfId="3" text="" percent="0" bottom="0">
      <formula>"Basse"</formula>
    </cfRule>
    <cfRule type="cellIs" rank="0" priority="14" equalAverage="0" operator="equal" aboveAverage="0" dxfId="3" text="" percent="0" bottom="0">
      <formula>"Cosmétique"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9" min="1" max="1"/>
    <col width="35" customWidth="1" style="19" min="2" max="3"/>
    <col width="30" customWidth="1" style="19" min="4" max="4"/>
    <col width="25" customWidth="1" style="19" min="5" max="5"/>
  </cols>
  <sheetData>
    <row r="1" ht="27.75" customHeight="1" s="20">
      <c r="A1" s="21" t="inlineStr">
        <is>
          <t>2. Environnements</t>
        </is>
      </c>
    </row>
    <row r="3" ht="15" customHeight="1" s="20">
      <c r="A3" s="31" t="inlineStr">
        <is>
          <t>2.1 Environnements applicatifs</t>
        </is>
      </c>
    </row>
    <row r="4" ht="30" customHeight="1" s="20">
      <c r="A4" s="32" t="inlineStr">
        <is>
          <t>Environnement</t>
        </is>
      </c>
      <c r="B4" s="32" t="inlineStr">
        <is>
          <t>URL Web</t>
        </is>
      </c>
      <c r="C4" s="32" t="inlineStr">
        <is>
          <t>API Mobile</t>
        </is>
      </c>
      <c r="D4" s="32" t="inlineStr">
        <is>
          <t>Base de données</t>
        </is>
      </c>
      <c r="E4" s="32" t="inlineStr">
        <is>
          <t>Usage</t>
        </is>
      </c>
    </row>
    <row r="5" ht="15" customHeight="1" s="20">
      <c r="A5" s="33" t="inlineStr">
        <is>
          <t>Local dev</t>
        </is>
      </c>
      <c r="B5" s="33" t="inlineStr">
        <is>
          <t>http://localhost:3000</t>
        </is>
      </c>
      <c r="C5" s="33" t="inlineStr">
        <is>
          <t>http://localhost:3000</t>
        </is>
      </c>
      <c r="D5" s="33" t="inlineStr">
        <is>
          <t>Postgres local</t>
        </is>
      </c>
      <c r="E5" s="33" t="inlineStr">
        <is>
          <t>Développement</t>
        </is>
      </c>
    </row>
    <row r="6" ht="15" customHeight="1" s="20">
      <c r="A6" s="34" t="inlineStr">
        <is>
          <t>CI</t>
        </is>
      </c>
      <c r="B6" s="34" t="inlineStr">
        <is>
          <t>localhost:3000 (éphémère)</t>
        </is>
      </c>
      <c r="C6" s="34" t="inlineStr">
        <is>
          <t>—</t>
        </is>
      </c>
      <c r="D6" s="34" t="inlineStr">
        <is>
          <t>Postgres service container</t>
        </is>
      </c>
      <c r="E6" s="34" t="inlineStr">
        <is>
          <t>Pipeline automatisé</t>
        </is>
      </c>
    </row>
    <row r="7" ht="15" customHeight="1" s="20">
      <c r="A7" s="33" t="inlineStr">
        <is>
          <t>Staging / Recette</t>
        </is>
      </c>
      <c r="B7" s="33" t="inlineStr">
        <is>
          <t>https://recette.cesizen.fr</t>
        </is>
      </c>
      <c r="C7" s="33" t="inlineStr">
        <is>
          <t>https://recette.cesizen.fr</t>
        </is>
      </c>
      <c r="D7" s="33" t="inlineStr">
        <is>
          <t>Base dédiée recette</t>
        </is>
      </c>
      <c r="E7" s="33" t="inlineStr">
        <is>
          <t>UAT</t>
        </is>
      </c>
    </row>
    <row r="8" ht="15" customHeight="1" s="20">
      <c r="A8" s="34" t="inlineStr">
        <is>
          <t>Production</t>
        </is>
      </c>
      <c r="B8" s="34" t="inlineStr">
        <is>
          <t>https://cesizen.fr</t>
        </is>
      </c>
      <c r="C8" s="34" t="inlineStr">
        <is>
          <t>https://cesizen.fr</t>
        </is>
      </c>
      <c r="D8" s="34" t="inlineStr">
        <is>
          <t>Base prod</t>
        </is>
      </c>
      <c r="E8" s="34" t="inlineStr">
        <is>
          <t>Live</t>
        </is>
      </c>
    </row>
    <row r="10" ht="15" customHeight="1" s="20">
      <c r="A10" s="31" t="inlineStr">
        <is>
          <t>2.2 Versions cibles</t>
        </is>
      </c>
    </row>
    <row r="11" ht="30" customHeight="1" s="20">
      <c r="A11" s="32" t="inlineStr">
        <is>
          <t>Plateforme</t>
        </is>
      </c>
      <c r="B11" s="32" t="inlineStr">
        <is>
          <t>Versions supportées</t>
        </is>
      </c>
    </row>
    <row r="12" ht="20.25" customHeight="1" s="20">
      <c r="A12" s="33" t="inlineStr">
        <is>
          <t>Navigateurs web</t>
        </is>
      </c>
      <c r="B12" s="33" t="inlineStr">
        <is>
          <t>Chrome 120+, Firefox 120+, Safari 17+, Edge 120+</t>
        </is>
      </c>
    </row>
    <row r="13" ht="15" customHeight="1" s="20">
      <c r="A13" s="34" t="inlineStr">
        <is>
          <t>iOS</t>
        </is>
      </c>
      <c r="B13" s="34" t="inlineStr">
        <is>
          <t>16.0+</t>
        </is>
      </c>
    </row>
    <row r="14" ht="15" customHeight="1" s="20">
      <c r="A14" s="33" t="inlineStr">
        <is>
          <t>Android</t>
        </is>
      </c>
      <c r="B14" s="33" t="inlineStr">
        <is>
          <t>API 24+ (Android 7.0+)</t>
        </is>
      </c>
    </row>
    <row r="15" ht="15" customHeight="1" s="20">
      <c r="A15" s="34" t="inlineStr">
        <is>
          <t>Résolutions</t>
        </is>
      </c>
      <c r="B15" s="34" t="inlineStr">
        <is>
          <t>360×640 (mobile) → 1920×1080 (desktop)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19" min="1" max="1"/>
    <col width="18" customWidth="1" style="19" min="2" max="2"/>
    <col width="30" customWidth="1" style="19" min="3" max="4"/>
  </cols>
  <sheetData>
    <row r="1" ht="27.75" customHeight="1" s="20">
      <c r="A1" s="21" t="inlineStr">
        <is>
          <t>3. Données de test</t>
        </is>
      </c>
    </row>
    <row r="3" ht="15" customHeight="1" s="20">
      <c r="A3" s="31" t="inlineStr">
        <is>
          <t>3.1 Comptes pré-provisionnés (recette)</t>
        </is>
      </c>
    </row>
    <row r="4" ht="30" customHeight="1" s="20">
      <c r="A4" s="32" t="inlineStr">
        <is>
          <t>Login</t>
        </is>
      </c>
      <c r="B4" s="32" t="inlineStr">
        <is>
          <t>Mot de passe</t>
        </is>
      </c>
      <c r="C4" s="32" t="inlineStr">
        <is>
          <t>Rôle</t>
        </is>
      </c>
      <c r="D4" s="32" t="inlineStr">
        <is>
          <t>État</t>
        </is>
      </c>
    </row>
    <row r="5" ht="15" customHeight="1" s="20">
      <c r="A5" s="33" t="inlineStr">
        <is>
          <t>admin@cesizen.fr</t>
        </is>
      </c>
      <c r="B5" s="33" t="inlineStr">
        <is>
          <t>Admin1234!</t>
        </is>
      </c>
      <c r="C5" s="33" t="inlineStr">
        <is>
          <t>admin</t>
        </is>
      </c>
      <c r="D5" s="33" t="inlineStr">
        <is>
          <t>actif</t>
        </is>
      </c>
    </row>
    <row r="6" ht="15" customHeight="1" s="20">
      <c r="A6" s="34" t="inlineStr">
        <is>
          <t>demo@cesizen.fr</t>
        </is>
      </c>
      <c r="B6" s="34" t="inlineStr">
        <is>
          <t>Demo1234</t>
        </is>
      </c>
      <c r="C6" s="34" t="inlineStr">
        <is>
          <t>user</t>
        </is>
      </c>
      <c r="D6" s="34" t="inlineStr">
        <is>
          <t>actif</t>
        </is>
      </c>
    </row>
    <row r="7" ht="15" customHeight="1" s="20">
      <c r="A7" s="33" t="inlineStr">
        <is>
          <t>banned@cesizen.fr</t>
        </is>
      </c>
      <c r="B7" s="33" t="inlineStr">
        <is>
          <t>Banned1234</t>
        </is>
      </c>
      <c r="C7" s="33" t="inlineStr">
        <is>
          <t>user</t>
        </is>
      </c>
      <c r="D7" s="33" t="inlineStr">
        <is>
          <t>banni</t>
        </is>
      </c>
    </row>
    <row r="8" ht="15" customHeight="1" s="20">
      <c r="A8" s="34" t="inlineStr">
        <is>
          <t>empty@cesizen.fr</t>
        </is>
      </c>
      <c r="B8" s="34" t="inlineStr">
        <is>
          <t>Empty1234</t>
        </is>
      </c>
      <c r="C8" s="34" t="inlineStr">
        <is>
          <t>user</t>
        </is>
      </c>
      <c r="D8" s="34" t="inlineStr">
        <is>
          <t>actif (0 entrée)</t>
        </is>
      </c>
    </row>
    <row r="10" ht="15" customHeight="1" s="20">
      <c r="A10" s="31" t="inlineStr">
        <is>
          <t>3.2 Référentiel d'émotions seed</t>
        </is>
      </c>
    </row>
    <row r="11" ht="30" customHeight="1" s="20">
      <c r="A11" s="32" t="inlineStr">
        <is>
          <t>Catégorie</t>
        </is>
      </c>
      <c r="B11" s="32" t="inlineStr">
        <is>
          <t>Couleur</t>
        </is>
      </c>
      <c r="C11" s="32" t="inlineStr">
        <is>
          <t>Émotions</t>
        </is>
      </c>
    </row>
    <row r="12" ht="15" customHeight="1" s="20">
      <c r="A12" s="33" t="inlineStr">
        <is>
          <t>Joie</t>
        </is>
      </c>
      <c r="B12" s="33" t="inlineStr">
        <is>
          <t>#FFD700</t>
        </is>
      </c>
      <c r="C12" s="33" t="inlineStr">
        <is>
          <t>Heureux, Fier, Apaisé, Reconnaissant</t>
        </is>
      </c>
    </row>
    <row r="13" ht="15" customHeight="1" s="20">
      <c r="A13" s="34" t="inlineStr">
        <is>
          <t>Tristesse</t>
        </is>
      </c>
      <c r="B13" s="34" t="inlineStr">
        <is>
          <t>#4682B4</t>
        </is>
      </c>
      <c r="C13" s="34" t="inlineStr">
        <is>
          <t>Mélancolique, Découragé, Solitaire</t>
        </is>
      </c>
    </row>
    <row r="14" ht="15" customHeight="1" s="20">
      <c r="A14" s="33" t="inlineStr">
        <is>
          <t>Colère</t>
        </is>
      </c>
      <c r="B14" s="33" t="inlineStr">
        <is>
          <t>#DC143C</t>
        </is>
      </c>
      <c r="C14" s="33" t="inlineStr">
        <is>
          <t>Frustré, Irrité, Furieux</t>
        </is>
      </c>
    </row>
    <row r="15" ht="15" customHeight="1" s="20">
      <c r="A15" s="34" t="inlineStr">
        <is>
          <t>Peur</t>
        </is>
      </c>
      <c r="B15" s="34" t="inlineStr">
        <is>
          <t>#800080</t>
        </is>
      </c>
      <c r="C15" s="34" t="inlineStr">
        <is>
          <t>Anxieux, Inquiet, Stressé</t>
        </is>
      </c>
    </row>
    <row r="16" ht="15" customHeight="1" s="20">
      <c r="A16" s="33" t="inlineStr">
        <is>
          <t>Surprise</t>
        </is>
      </c>
      <c r="B16" s="33" t="inlineStr">
        <is>
          <t>#FFA500</t>
        </is>
      </c>
      <c r="C16" s="33" t="inlineStr">
        <is>
          <t>Étonné, Émerveillé</t>
        </is>
      </c>
    </row>
    <row r="18" ht="15" customHeight="1" s="20">
      <c r="A18" s="31" t="inlineStr">
        <is>
          <t>3.3 Articles seed</t>
        </is>
      </c>
    </row>
    <row r="19" ht="15" customHeight="1" s="20">
      <c r="A19" s="35" t="inlineStr">
        <is>
          <t>Au moins 5 articles publiés dont 1 par catégorie (Bien-être, Stress, Sommeil, Travail, Émotions).</t>
        </is>
      </c>
    </row>
  </sheetData>
  <mergeCells count="2">
    <mergeCell ref="A1:D1"/>
    <mergeCell ref="A19:D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19" min="1" max="1"/>
    <col width="80" customWidth="1" style="19" min="2" max="2"/>
  </cols>
  <sheetData>
    <row r="1" ht="27.75" customHeight="1" s="20">
      <c r="A1" s="21" t="inlineStr">
        <is>
          <t>4. Critères d'entrée et de sortie</t>
        </is>
      </c>
    </row>
    <row r="3" ht="15" customHeight="1" s="20">
      <c r="A3" s="31" t="inlineStr">
        <is>
          <t>4.1 Critères d'entrée d'une campagne de test</t>
        </is>
      </c>
    </row>
    <row r="4" ht="30" customHeight="1" s="20">
      <c r="A4" s="32" t="inlineStr">
        <is>
          <t>#</t>
        </is>
      </c>
      <c r="B4" s="32" t="inlineStr">
        <is>
          <t>Critère</t>
        </is>
      </c>
    </row>
    <row r="5" ht="15" customHeight="1" s="20">
      <c r="A5" s="33" t="n">
        <v>1</v>
      </c>
      <c r="B5" s="33" t="inlineStr">
        <is>
          <t>Build déployé sur l'environnement cible</t>
        </is>
      </c>
    </row>
    <row r="6" ht="15" customHeight="1" s="20">
      <c r="A6" s="34" t="n">
        <v>2</v>
      </c>
      <c r="B6" s="34" t="inlineStr">
        <is>
          <t>Migrations DB appliquées (drizzle-kit migrate)</t>
        </is>
      </c>
    </row>
    <row r="7" ht="15" customHeight="1" s="20">
      <c r="A7" s="33" t="n">
        <v>3</v>
      </c>
      <c r="B7" s="33" t="inlineStr">
        <is>
          <t>Données seed chargées</t>
        </is>
      </c>
    </row>
    <row r="8" ht="15" customHeight="1" s="20">
      <c r="A8" s="34" t="n">
        <v>4</v>
      </c>
      <c r="B8" s="34" t="inlineStr">
        <is>
          <t>Comptes de test créés</t>
        </is>
      </c>
    </row>
    <row r="9" ht="15" customHeight="1" s="20">
      <c r="A9" s="33" t="n">
        <v>5</v>
      </c>
      <c r="B9" s="33" t="inlineStr">
        <is>
          <t>Documentation à jour</t>
        </is>
      </c>
    </row>
    <row r="10" ht="15" customHeight="1" s="20">
      <c r="A10" s="34" t="n">
        <v>6</v>
      </c>
      <c r="B10" s="34" t="inlineStr">
        <is>
          <t>Pipeline CI vert sur la branche</t>
        </is>
      </c>
    </row>
    <row r="12" ht="15" customHeight="1" s="20">
      <c r="A12" s="31" t="inlineStr">
        <is>
          <t>4.2 Critères de sortie</t>
        </is>
      </c>
    </row>
    <row r="13" ht="30" customHeight="1" s="20">
      <c r="A13" s="32" t="inlineStr">
        <is>
          <t>#</t>
        </is>
      </c>
      <c r="B13" s="32" t="inlineStr">
        <is>
          <t>Critère</t>
        </is>
      </c>
    </row>
    <row r="14" ht="15" customHeight="1" s="20">
      <c r="A14" s="33" t="n">
        <v>1</v>
      </c>
      <c r="B14" s="33" t="inlineStr">
        <is>
          <t>100 % des cas Bloquants OK</t>
        </is>
      </c>
    </row>
    <row r="15" ht="15" customHeight="1" s="20">
      <c r="A15" s="34" t="n">
        <v>2</v>
      </c>
      <c r="B15" s="34" t="inlineStr">
        <is>
          <t>≥ 95 % des cas Hautes OK</t>
        </is>
      </c>
    </row>
    <row r="16" ht="15" customHeight="1" s="20">
      <c r="A16" s="33" t="n">
        <v>3</v>
      </c>
      <c r="B16" s="33" t="inlineStr">
        <is>
          <t>≥ 85 % des cas Moyennes OK</t>
        </is>
      </c>
    </row>
    <row r="17" ht="15" customHeight="1" s="20">
      <c r="A17" s="34" t="n">
        <v>4</v>
      </c>
      <c r="B17" s="34" t="inlineStr">
        <is>
          <t>Aucune anomalie Bloquante ouverte</t>
        </is>
      </c>
    </row>
    <row r="18" ht="15" customHeight="1" s="20">
      <c r="A18" s="33" t="n">
        <v>5</v>
      </c>
      <c r="B18" s="33" t="inlineStr">
        <is>
          <t>Tous les correctifs livrés ont leur test de non-régression</t>
        </is>
      </c>
    </row>
    <row r="19" ht="15" customHeight="1" s="20">
      <c r="A19" s="34" t="n">
        <v>6</v>
      </c>
      <c r="B19" s="34" t="inlineStr">
        <is>
          <t>PV de recette signé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9" min="1" max="1"/>
    <col width="60" customWidth="1" style="19" min="2" max="2"/>
  </cols>
  <sheetData>
    <row r="1" ht="27.75" customHeight="1" s="20">
      <c r="A1" s="21" t="inlineStr">
        <is>
          <t>5. Matrice de couverture</t>
        </is>
      </c>
    </row>
    <row r="3" ht="30" customHeight="1" s="20">
      <c r="A3" s="32" t="inlineStr">
        <is>
          <t>Exigence métier</t>
        </is>
      </c>
      <c r="B3" s="32" t="inlineStr">
        <is>
          <t>Cas de test associés</t>
        </is>
      </c>
    </row>
    <row r="4" ht="15" customHeight="1" s="20">
      <c r="A4" s="33" t="inlineStr">
        <is>
          <t>Un citoyen peut créer un compte</t>
        </is>
      </c>
      <c r="B4" s="33" t="inlineStr">
        <is>
          <t>CT-AUTH-001, CT-AUTH-002, CT-AUTH-003</t>
        </is>
      </c>
    </row>
    <row r="5" ht="15" customHeight="1" s="20">
      <c r="A5" s="34" t="inlineStr">
        <is>
          <t>Un citoyen peut se connecter</t>
        </is>
      </c>
      <c r="B5" s="34" t="inlineStr">
        <is>
          <t>CT-AUTH-004, CT-AUTH-005, CT-AUTH-006, CT-AUTH-007</t>
        </is>
      </c>
    </row>
    <row r="6" ht="15" customHeight="1" s="20">
      <c r="A6" s="33" t="inlineStr">
        <is>
          <t>Les notes sont chiffrées au repos</t>
        </is>
      </c>
      <c r="B6" s="33" t="inlineStr">
        <is>
          <t>CT-JRN-005, CT-SEC-001, CT-ADM-013</t>
        </is>
      </c>
    </row>
    <row r="7" ht="15" customHeight="1" s="20">
      <c r="A7" s="34" t="inlineStr">
        <is>
          <t>Un user ne lit pas les entrées d'un autre</t>
        </is>
      </c>
      <c r="B7" s="34" t="inlineStr">
        <is>
          <t>CT-JRN-009, CT-JRN-010, CT-SEC-006</t>
        </is>
      </c>
    </row>
    <row r="8" ht="15" customHeight="1" s="20">
      <c r="A8" s="33" t="inlineStr">
        <is>
          <t>Les admins ne voient pas les notes en clair</t>
        </is>
      </c>
      <c r="B8" s="33" t="inlineStr">
        <is>
          <t>CT-SEC-001, CT-ADM-013</t>
        </is>
      </c>
    </row>
    <row r="9" ht="15" customHeight="1" s="20">
      <c r="A9" s="34" t="inlineStr">
        <is>
          <t>L'app mobile persiste la session</t>
        </is>
      </c>
      <c r="B9" s="34" t="inlineStr">
        <is>
          <t>CT-MOB-001, CT-MOB-002</t>
        </is>
      </c>
    </row>
    <row r="10" ht="15" customHeight="1" s="20">
      <c r="A10" s="33" t="inlineStr">
        <is>
          <t>Un admin peut bannir un user</t>
        </is>
      </c>
      <c r="B10" s="33" t="inlineStr">
        <is>
          <t>CT-ADM-005, CT-ADM-006</t>
        </is>
      </c>
    </row>
    <row r="11" ht="15" customHeight="1" s="20">
      <c r="A11" s="34" t="inlineStr">
        <is>
          <t>Un admin ne peut pas se ban lui-même</t>
        </is>
      </c>
      <c r="B11" s="34" t="inlineStr">
        <is>
          <t>CT-ADM-007</t>
        </is>
      </c>
    </row>
    <row r="12" ht="15" customHeight="1" s="20">
      <c r="A12" s="33" t="inlineStr">
        <is>
          <t>Les statistiques reflètent les entrées du user</t>
        </is>
      </c>
      <c r="B12" s="33" t="inlineStr">
        <is>
          <t>CT-STAT-001 à CT-STAT-008</t>
        </is>
      </c>
    </row>
    <row r="13" ht="15" customHeight="1" s="20">
      <c r="A13" s="34" t="inlineStr">
        <is>
          <t>Les articles brouillons restent invisibles</t>
        </is>
      </c>
      <c r="B13" s="34" t="inlineStr">
        <is>
          <t>CT-CONS-007, CT-CONS-008</t>
        </is>
      </c>
    </row>
    <row r="14" ht="15" customHeight="1" s="20">
      <c r="A14" s="33" t="inlineStr">
        <is>
          <t>Mot de passe robuste (8+, maj, min, chiffre)</t>
        </is>
      </c>
      <c r="B14" s="33" t="inlineStr">
        <is>
          <t>CT-AUTH-013, CT-AUTH-014</t>
        </is>
      </c>
    </row>
    <row r="15" ht="15" customHeight="1" s="20">
      <c r="A15" s="34" t="inlineStr">
        <is>
          <t>Les sessions JWT expirent à 7 jours</t>
        </is>
      </c>
      <c r="B15" s="34" t="inlineStr">
        <is>
          <t>CT-AUTH-009, CT-SEC-008</t>
        </is>
      </c>
    </row>
  </sheetData>
  <autoFilter ref="A3:B15"/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O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9" customWidth="1" style="19" min="1" max="1"/>
    <col width="14" customWidth="1" style="19" min="2" max="2"/>
    <col width="38" customWidth="1" style="19" min="3" max="3"/>
    <col width="14" customWidth="1" style="19" min="4" max="4"/>
    <col width="16" customWidth="1" style="19" min="5" max="5"/>
    <col width="28" customWidth="1" style="19" min="6" max="7"/>
    <col width="38" customWidth="1" style="19" min="8" max="8"/>
    <col width="42" customWidth="1" style="19" min="9" max="9"/>
    <col width="22" customWidth="1" style="19" min="10" max="10"/>
    <col width="13" customWidth="1" style="19" min="11" max="12"/>
    <col width="16" customWidth="1" style="19" min="13" max="13"/>
    <col width="14" customWidth="1" style="19" min="14" max="15"/>
  </cols>
  <sheetData>
    <row r="1" ht="27.75" customHeight="1" s="20">
      <c r="A1" s="21" t="inlineStr">
        <is>
          <t>Vue consolidée — 98 cas de test</t>
        </is>
      </c>
    </row>
    <row r="2" ht="15" customHeight="1" s="20">
      <c r="A2" s="36" t="inlineStr">
        <is>
          <t>Synchronisé avec les onglets modules : Statut, Date, Testeur, Commentaire et ID anomalie sont remontés via VLOOKUP. Toute modification sur un onglet module se reflète ici automatiquement.</t>
        </is>
      </c>
    </row>
    <row r="3" ht="30" customHeight="1" s="20">
      <c r="A3" s="32" t="inlineStr">
        <is>
          <t>Module</t>
        </is>
      </c>
      <c r="B3" s="32" t="inlineStr">
        <is>
          <t>ID</t>
        </is>
      </c>
      <c r="C3" s="32" t="inlineStr">
        <is>
          <t>Titre</t>
        </is>
      </c>
      <c r="D3" s="32" t="inlineStr">
        <is>
          <t>Niveau</t>
        </is>
      </c>
      <c r="E3" s="32" t="inlineStr">
        <is>
          <t>Criticité</t>
        </is>
      </c>
      <c r="F3" s="32" t="inlineStr">
        <is>
          <t>Préconditions</t>
        </is>
      </c>
      <c r="G3" s="32" t="inlineStr">
        <is>
          <t>Données</t>
        </is>
      </c>
      <c r="H3" s="32" t="inlineStr">
        <is>
          <t>Étapes</t>
        </is>
      </c>
      <c r="I3" s="32" t="inlineStr">
        <is>
          <t>Résultat attendu</t>
        </is>
      </c>
      <c r="J3" s="32" t="inlineStr">
        <is>
          <t>Automatisé</t>
        </is>
      </c>
      <c r="K3" s="32" t="inlineStr">
        <is>
          <t>Statut</t>
        </is>
      </c>
      <c r="L3" s="32" t="inlineStr">
        <is>
          <t>Date exécution</t>
        </is>
      </c>
      <c r="M3" s="32" t="inlineStr">
        <is>
          <t>Testeur</t>
        </is>
      </c>
      <c r="N3" s="32" t="inlineStr">
        <is>
          <t>Commentaire</t>
        </is>
      </c>
      <c r="O3" s="32" t="inlineStr">
        <is>
          <t>ID anomalie</t>
        </is>
      </c>
    </row>
    <row r="4" ht="59.7" customHeight="1" s="20">
      <c r="A4" s="37" t="inlineStr">
        <is>
          <t>AUTH</t>
        </is>
      </c>
      <c r="B4" s="33" t="inlineStr">
        <is>
          <t>CT-AUTH-001</t>
        </is>
      </c>
      <c r="C4" s="33" t="inlineStr">
        <is>
          <t>Inscription nominale</t>
        </is>
      </c>
      <c r="D4" s="33" t="inlineStr">
        <is>
          <t>Intégration</t>
        </is>
      </c>
      <c r="E4" s="33" t="inlineStr">
        <is>
          <t>Bloquant</t>
        </is>
      </c>
      <c r="F4" s="33" t="inlineStr">
        <is>
          <t>Aucun compte avec l'email cible n'existe en DB</t>
        </is>
      </c>
      <c r="G4" s="33" t="inlineStr">
        <is>
          <t>email=new@test.com, password=Password1, confirm=Password1, prenom=Jane, nom=Doe</t>
        </is>
      </c>
      <c r="H4" s="33" t="inlineStr">
        <is>
          <t>1. POST /api/auth/register avec le body
2. Lire la réponse</t>
        </is>
      </c>
      <c r="I4" s="33" t="inlineStr">
        <is>
          <t>• HTTP 200
• body.success === true
• body.token au format JWT (3 segments séparés par .)
• Cookie session posé httpOnly + sameSite=lax
• Ligne créée dans users avec role='user' et isBanned=false</t>
        </is>
      </c>
      <c r="J4" s="33" t="inlineStr">
        <is>
          <t>✅ tests/integration/auth.test.ts</t>
        </is>
      </c>
      <c r="K4" s="33">
        <f>IFERROR(VLOOKUP(B4,'6. AUTH'!A:N,10,FALSE()),"")</f>
        <v/>
      </c>
      <c r="L4" s="33">
        <f>IFERROR(VLOOKUP(B4,'6. AUTH'!A:N,11,FALSE()),"")</f>
        <v/>
      </c>
      <c r="M4" s="33">
        <f>IFERROR(VLOOKUP(B4,'6. AUTH'!A:N,12,FALSE()),"")</f>
        <v/>
      </c>
      <c r="N4" s="33">
        <f>IFERROR(VLOOKUP(B4,'6. AUTH'!A:N,13,FALSE()),"")</f>
        <v/>
      </c>
      <c r="O4" s="33">
        <f>IFERROR(VLOOKUP(B4,'6. AUTH'!A:N,14,FALSE()),"")</f>
        <v/>
      </c>
    </row>
    <row r="5" ht="20.85" customHeight="1" s="20">
      <c r="A5" s="38" t="inlineStr">
        <is>
          <t>AUTH</t>
        </is>
      </c>
      <c r="B5" s="34" t="inlineStr">
        <is>
          <t>CT-AUTH-002</t>
        </is>
      </c>
      <c r="C5" s="34" t="inlineStr">
        <is>
          <t>Inscription rejetée pour mot de passe faible</t>
        </is>
      </c>
      <c r="D5" s="34" t="inlineStr">
        <is>
          <t>Intégration</t>
        </is>
      </c>
      <c r="E5" s="34" t="inlineStr">
        <is>
          <t>Haute</t>
        </is>
      </c>
      <c r="F5" s="34" t="inlineStr">
        <is>
          <t>—</t>
        </is>
      </c>
      <c r="G5" s="34" t="inlineStr">
        <is>
          <t>email=a@b.co, password=short, confirm=short</t>
        </is>
      </c>
      <c r="H5" s="34" t="inlineStr">
        <is>
          <t>POST /api/auth/register</t>
        </is>
      </c>
      <c r="I5" s="34" t="inlineStr">
        <is>
          <t>HTTP 400 + body.fieldErrors.password non vide (regex maj/min/chiffre/8 car)</t>
        </is>
      </c>
      <c r="J5" s="34" t="inlineStr">
        <is>
          <t>✅</t>
        </is>
      </c>
      <c r="K5" s="34">
        <f>IFERROR(VLOOKUP(B5,'6. AUTH'!A:N,10,FALSE()),"")</f>
        <v/>
      </c>
      <c r="L5" s="34">
        <f>IFERROR(VLOOKUP(B5,'6. AUTH'!A:N,11,FALSE()),"")</f>
        <v/>
      </c>
      <c r="M5" s="34">
        <f>IFERROR(VLOOKUP(B5,'6. AUTH'!A:N,12,FALSE()),"")</f>
        <v/>
      </c>
      <c r="N5" s="34">
        <f>IFERROR(VLOOKUP(B5,'6. AUTH'!A:N,13,FALSE()),"")</f>
        <v/>
      </c>
      <c r="O5" s="34">
        <f>IFERROR(VLOOKUP(B5,'6. AUTH'!A:N,14,FALSE()),"")</f>
        <v/>
      </c>
    </row>
    <row r="6" ht="15" customHeight="1" s="20">
      <c r="A6" s="37" t="inlineStr">
        <is>
          <t>AUTH</t>
        </is>
      </c>
      <c r="B6" s="33" t="inlineStr">
        <is>
          <t>CT-AUTH-003</t>
        </is>
      </c>
      <c r="C6" s="33" t="inlineStr">
        <is>
          <t>Inscription rejetée pour email déjà utilisé</t>
        </is>
      </c>
      <c r="D6" s="33" t="inlineStr">
        <is>
          <t>Intégration</t>
        </is>
      </c>
      <c r="E6" s="33" t="inlineStr">
        <is>
          <t>Haute</t>
        </is>
      </c>
      <c r="F6" s="33" t="inlineStr">
        <is>
          <t>Un user dup@test.com existe</t>
        </is>
      </c>
      <c r="G6" s="33" t="inlineStr">
        <is>
          <t>email=dup@test.com</t>
        </is>
      </c>
      <c r="H6" s="33" t="inlineStr">
        <is>
          <t>POST /api/auth/register avec ce même email</t>
        </is>
      </c>
      <c r="I6" s="33" t="inlineStr">
        <is>
          <t>HTTP 409 + body.error contient « existe déjà »</t>
        </is>
      </c>
      <c r="J6" s="33" t="inlineStr">
        <is>
          <t>✅</t>
        </is>
      </c>
      <c r="K6" s="33">
        <f>IFERROR(VLOOKUP(B6,'6. AUTH'!A:N,10,FALSE()),"")</f>
        <v/>
      </c>
      <c r="L6" s="33">
        <f>IFERROR(VLOOKUP(B6,'6. AUTH'!A:N,11,FALSE()),"")</f>
        <v/>
      </c>
      <c r="M6" s="33">
        <f>IFERROR(VLOOKUP(B6,'6. AUTH'!A:N,12,FALSE()),"")</f>
        <v/>
      </c>
      <c r="N6" s="33">
        <f>IFERROR(VLOOKUP(B6,'6. AUTH'!A:N,13,FALSE()),"")</f>
        <v/>
      </c>
      <c r="O6" s="33">
        <f>IFERROR(VLOOKUP(B6,'6. AUTH'!A:N,14,FALSE()),"")</f>
        <v/>
      </c>
    </row>
    <row r="7" ht="20.85" customHeight="1" s="20">
      <c r="A7" s="38" t="inlineStr">
        <is>
          <t>AUTH</t>
        </is>
      </c>
      <c r="B7" s="34" t="inlineStr">
        <is>
          <t>CT-AUTH-004</t>
        </is>
      </c>
      <c r="C7" s="34" t="inlineStr">
        <is>
          <t>Connexion nominale</t>
        </is>
      </c>
      <c r="D7" s="34" t="inlineStr">
        <is>
          <t>Intégration</t>
        </is>
      </c>
      <c r="E7" s="34" t="inlineStr">
        <is>
          <t>Bloquant</t>
        </is>
      </c>
      <c r="F7" s="34" t="inlineStr">
        <is>
          <t>Compte log@test.com / Password123 actif</t>
        </is>
      </c>
      <c r="G7" s="34" t="inlineStr">
        <is>
          <t>—</t>
        </is>
      </c>
      <c r="H7" s="34" t="inlineStr">
        <is>
          <t>POST /api/auth/login</t>
        </is>
      </c>
      <c r="I7" s="34" t="inlineStr">
        <is>
          <t>HTTP 200 + token JWT + cookie session posé</t>
        </is>
      </c>
      <c r="J7" s="34" t="inlineStr">
        <is>
          <t>✅</t>
        </is>
      </c>
      <c r="K7" s="34">
        <f>IFERROR(VLOOKUP(B7,'6. AUTH'!A:N,10,FALSE()),"")</f>
        <v/>
      </c>
      <c r="L7" s="34">
        <f>IFERROR(VLOOKUP(B7,'6. AUTH'!A:N,11,FALSE()),"")</f>
        <v/>
      </c>
      <c r="M7" s="34">
        <f>IFERROR(VLOOKUP(B7,'6. AUTH'!A:N,12,FALSE()),"")</f>
        <v/>
      </c>
      <c r="N7" s="34">
        <f>IFERROR(VLOOKUP(B7,'6. AUTH'!A:N,13,FALSE()),"")</f>
        <v/>
      </c>
      <c r="O7" s="34">
        <f>IFERROR(VLOOKUP(B7,'6. AUTH'!A:N,14,FALSE()),"")</f>
        <v/>
      </c>
    </row>
    <row r="8" ht="30.55" customHeight="1" s="20">
      <c r="A8" s="37" t="inlineStr">
        <is>
          <t>AUTH</t>
        </is>
      </c>
      <c r="B8" s="33" t="inlineStr">
        <is>
          <t>CT-AUTH-005</t>
        </is>
      </c>
      <c r="C8" s="33" t="inlineStr">
        <is>
          <t>Connexion refusée — mauvais mot de passe</t>
        </is>
      </c>
      <c r="D8" s="33" t="inlineStr">
        <is>
          <t>Intégration</t>
        </is>
      </c>
      <c r="E8" s="33" t="inlineStr">
        <is>
          <t>Bloquant</t>
        </is>
      </c>
      <c r="F8" s="33" t="inlineStr">
        <is>
          <t>—</t>
        </is>
      </c>
      <c r="G8" s="33" t="inlineStr">
        <is>
          <t>—</t>
        </is>
      </c>
      <c r="H8" s="33" t="inlineStr">
        <is>
          <t>POST /api/auth/login avec mauvais mot de passe</t>
        </is>
      </c>
      <c r="I8" s="33" t="inlineStr">
        <is>
          <t>HTTP 401 + body.error « Email ou mot de passe incorrect » (message identique pour email inconnu, anti-énumération)</t>
        </is>
      </c>
      <c r="J8" s="33" t="inlineStr">
        <is>
          <t>✅</t>
        </is>
      </c>
      <c r="K8" s="33">
        <f>IFERROR(VLOOKUP(B8,'6. AUTH'!A:N,10,FALSE()),"")</f>
        <v/>
      </c>
      <c r="L8" s="33">
        <f>IFERROR(VLOOKUP(B8,'6. AUTH'!A:N,11,FALSE()),"")</f>
        <v/>
      </c>
      <c r="M8" s="33">
        <f>IFERROR(VLOOKUP(B8,'6. AUTH'!A:N,12,FALSE()),"")</f>
        <v/>
      </c>
      <c r="N8" s="33">
        <f>IFERROR(VLOOKUP(B8,'6. AUTH'!A:N,13,FALSE()),"")</f>
        <v/>
      </c>
      <c r="O8" s="33">
        <f>IFERROR(VLOOKUP(B8,'6. AUTH'!A:N,14,FALSE()),"")</f>
        <v/>
      </c>
    </row>
    <row r="9" ht="15" customHeight="1" s="20">
      <c r="A9" s="38" t="inlineStr">
        <is>
          <t>AUTH</t>
        </is>
      </c>
      <c r="B9" s="34" t="inlineStr">
        <is>
          <t>CT-AUTH-006</t>
        </is>
      </c>
      <c r="C9" s="34" t="inlineStr">
        <is>
          <t>Connexion refusée — email inconnu</t>
        </is>
      </c>
      <c r="D9" s="34" t="inlineStr">
        <is>
          <t>Intégration</t>
        </is>
      </c>
      <c r="E9" s="34" t="inlineStr">
        <is>
          <t>Bloquant</t>
        </is>
      </c>
      <c r="F9" s="34" t="inlineStr">
        <is>
          <t>—</t>
        </is>
      </c>
      <c r="G9" s="34" t="inlineStr">
        <is>
          <t>—</t>
        </is>
      </c>
      <c r="H9" s="34" t="inlineStr">
        <is>
          <t>POST /api/auth/login avec email jamais inscrit</t>
        </is>
      </c>
      <c r="I9" s="34" t="inlineStr">
        <is>
          <t>HTTP 401 + même message qu'au CT-AUTH-005</t>
        </is>
      </c>
      <c r="J9" s="34" t="inlineStr">
        <is>
          <t>✅</t>
        </is>
      </c>
      <c r="K9" s="34">
        <f>IFERROR(VLOOKUP(B9,'6. AUTH'!A:N,10,FALSE()),"")</f>
        <v/>
      </c>
      <c r="L9" s="34">
        <f>IFERROR(VLOOKUP(B9,'6. AUTH'!A:N,11,FALSE()),"")</f>
        <v/>
      </c>
      <c r="M9" s="34">
        <f>IFERROR(VLOOKUP(B9,'6. AUTH'!A:N,12,FALSE()),"")</f>
        <v/>
      </c>
      <c r="N9" s="34">
        <f>IFERROR(VLOOKUP(B9,'6. AUTH'!A:N,13,FALSE()),"")</f>
        <v/>
      </c>
      <c r="O9" s="34">
        <f>IFERROR(VLOOKUP(B9,'6. AUTH'!A:N,14,FALSE()),"")</f>
        <v/>
      </c>
    </row>
    <row r="10" ht="20.85" customHeight="1" s="20">
      <c r="A10" s="37" t="inlineStr">
        <is>
          <t>AUTH</t>
        </is>
      </c>
      <c r="B10" s="33" t="inlineStr">
        <is>
          <t>CT-AUTH-007</t>
        </is>
      </c>
      <c r="C10" s="33" t="inlineStr">
        <is>
          <t>Connexion refusée — compte banni</t>
        </is>
      </c>
      <c r="D10" s="33" t="inlineStr">
        <is>
          <t>Intégration</t>
        </is>
      </c>
      <c r="E10" s="33" t="inlineStr">
        <is>
          <t>Haute</t>
        </is>
      </c>
      <c r="F10" s="33" t="inlineStr">
        <is>
          <t>banned@test.com avec isBanned=true</t>
        </is>
      </c>
      <c r="G10" s="33" t="inlineStr">
        <is>
          <t>—</t>
        </is>
      </c>
      <c r="H10" s="33" t="inlineStr">
        <is>
          <t>POST /api/auth/login</t>
        </is>
      </c>
      <c r="I10" s="33" t="inlineStr">
        <is>
          <t>HTTP 403 + body.error contient « suspendu »</t>
        </is>
      </c>
      <c r="J10" s="33" t="inlineStr">
        <is>
          <t>✅</t>
        </is>
      </c>
      <c r="K10" s="33">
        <f>IFERROR(VLOOKUP(B10,'6. AUTH'!A:N,10,FALSE()),"")</f>
        <v/>
      </c>
      <c r="L10" s="33">
        <f>IFERROR(VLOOKUP(B10,'6. AUTH'!A:N,11,FALSE()),"")</f>
        <v/>
      </c>
      <c r="M10" s="33">
        <f>IFERROR(VLOOKUP(B10,'6. AUTH'!A:N,12,FALSE()),"")</f>
        <v/>
      </c>
      <c r="N10" s="33">
        <f>IFERROR(VLOOKUP(B10,'6. AUTH'!A:N,13,FALSE()),"")</f>
        <v/>
      </c>
      <c r="O10" s="33">
        <f>IFERROR(VLOOKUP(B10,'6. AUTH'!A:N,14,FALSE()),"")</f>
        <v/>
      </c>
    </row>
    <row r="11" ht="15" customHeight="1" s="20">
      <c r="A11" s="38" t="inlineStr">
        <is>
          <t>AUTH</t>
        </is>
      </c>
      <c r="B11" s="34" t="inlineStr">
        <is>
          <t>CT-AUTH-008</t>
        </is>
      </c>
      <c r="C11" s="34" t="inlineStr">
        <is>
          <t>/api/auth/me sans authentification</t>
        </is>
      </c>
      <c r="D11" s="34" t="inlineStr">
        <is>
          <t>Intégration</t>
        </is>
      </c>
      <c r="E11" s="34" t="inlineStr">
        <is>
          <t>Moyenne</t>
        </is>
      </c>
      <c r="F11" s="34" t="inlineStr">
        <is>
          <t>—</t>
        </is>
      </c>
      <c r="G11" s="34" t="inlineStr">
        <is>
          <t>—</t>
        </is>
      </c>
      <c r="H11" s="34" t="inlineStr">
        <is>
          <t>GET /api/auth/me sans cookie ni Bearer</t>
        </is>
      </c>
      <c r="I11" s="34" t="inlineStr">
        <is>
          <t>HTTP 200 + body = null</t>
        </is>
      </c>
      <c r="J11" s="34" t="inlineStr">
        <is>
          <t>✅</t>
        </is>
      </c>
      <c r="K11" s="34">
        <f>IFERROR(VLOOKUP(B11,'6. AUTH'!A:N,10,FALSE()),"")</f>
        <v/>
      </c>
      <c r="L11" s="34">
        <f>IFERROR(VLOOKUP(B11,'6. AUTH'!A:N,11,FALSE()),"")</f>
        <v/>
      </c>
      <c r="M11" s="34">
        <f>IFERROR(VLOOKUP(B11,'6. AUTH'!A:N,12,FALSE()),"")</f>
        <v/>
      </c>
      <c r="N11" s="34">
        <f>IFERROR(VLOOKUP(B11,'6. AUTH'!A:N,13,FALSE()),"")</f>
        <v/>
      </c>
      <c r="O11" s="34">
        <f>IFERROR(VLOOKUP(B11,'6. AUTH'!A:N,14,FALSE()),"")</f>
        <v/>
      </c>
    </row>
    <row r="12" ht="20.85" customHeight="1" s="20">
      <c r="A12" s="37" t="inlineStr">
        <is>
          <t>AUTH</t>
        </is>
      </c>
      <c r="B12" s="33" t="inlineStr">
        <is>
          <t>CT-AUTH-009</t>
        </is>
      </c>
      <c r="C12" s="33" t="inlineStr">
        <is>
          <t>/api/auth/me avec Bearer valide (mobile)</t>
        </is>
      </c>
      <c r="D12" s="33" t="inlineStr">
        <is>
          <t>Intégration</t>
        </is>
      </c>
      <c r="E12" s="33" t="inlineStr">
        <is>
          <t>Bloquant</t>
        </is>
      </c>
      <c r="F12" s="33" t="inlineStr">
        <is>
          <t>—</t>
        </is>
      </c>
      <c r="G12" s="33" t="inlineStr">
        <is>
          <t>JWT valide</t>
        </is>
      </c>
      <c r="H12" s="33" t="inlineStr">
        <is>
          <t>GET /api/auth/me avec Authorization: Bearer &lt;jwt&gt;</t>
        </is>
      </c>
      <c r="I12" s="33" t="inlineStr">
        <is>
          <t>HTTP 200 + body contient userId, email, role</t>
        </is>
      </c>
      <c r="J12" s="33" t="inlineStr">
        <is>
          <t>✅</t>
        </is>
      </c>
      <c r="K12" s="33">
        <f>IFERROR(VLOOKUP(B12,'6. AUTH'!A:N,10,FALSE()),"")</f>
        <v/>
      </c>
      <c r="L12" s="33">
        <f>IFERROR(VLOOKUP(B12,'6. AUTH'!A:N,11,FALSE()),"")</f>
        <v/>
      </c>
      <c r="M12" s="33">
        <f>IFERROR(VLOOKUP(B12,'6. AUTH'!A:N,12,FALSE()),"")</f>
        <v/>
      </c>
      <c r="N12" s="33">
        <f>IFERROR(VLOOKUP(B12,'6. AUTH'!A:N,13,FALSE()),"")</f>
        <v/>
      </c>
      <c r="O12" s="33">
        <f>IFERROR(VLOOKUP(B12,'6. AUTH'!A:N,14,FALSE()),"")</f>
        <v/>
      </c>
    </row>
    <row r="13" ht="20.85" customHeight="1" s="20">
      <c r="A13" s="38" t="inlineStr">
        <is>
          <t>AUTH</t>
        </is>
      </c>
      <c r="B13" s="34" t="inlineStr">
        <is>
          <t>CT-AUTH-010</t>
        </is>
      </c>
      <c r="C13" s="34" t="inlineStr">
        <is>
          <t>/api/auth/me avec Bearer altéré</t>
        </is>
      </c>
      <c r="D13" s="34" t="inlineStr">
        <is>
          <t>Intégration</t>
        </is>
      </c>
      <c r="E13" s="34" t="inlineStr">
        <is>
          <t>Bloquant</t>
        </is>
      </c>
      <c r="F13" s="34" t="inlineStr">
        <is>
          <t>—</t>
        </is>
      </c>
      <c r="G13" s="34" t="inlineStr">
        <is>
          <t>JWT avec signature modifiée</t>
        </is>
      </c>
      <c r="H13" s="34" t="inlineStr">
        <is>
          <t>GET /api/auth/me avec un JWT dont la signature est modifiée</t>
        </is>
      </c>
      <c r="I13" s="34" t="inlineStr">
        <is>
          <t>HTTP 200 + body = null (jose rejette silencieusement)</t>
        </is>
      </c>
      <c r="J13" s="34" t="inlineStr">
        <is>
          <t>✅</t>
        </is>
      </c>
      <c r="K13" s="34">
        <f>IFERROR(VLOOKUP(B13,'6. AUTH'!A:N,10,FALSE()),"")</f>
        <v/>
      </c>
      <c r="L13" s="34">
        <f>IFERROR(VLOOKUP(B13,'6. AUTH'!A:N,11,FALSE()),"")</f>
        <v/>
      </c>
      <c r="M13" s="34">
        <f>IFERROR(VLOOKUP(B13,'6. AUTH'!A:N,12,FALSE()),"")</f>
        <v/>
      </c>
      <c r="N13" s="34">
        <f>IFERROR(VLOOKUP(B13,'6. AUTH'!A:N,13,FALSE()),"")</f>
        <v/>
      </c>
      <c r="O13" s="34">
        <f>IFERROR(VLOOKUP(B13,'6. AUTH'!A:N,14,FALSE()),"")</f>
        <v/>
      </c>
    </row>
    <row r="14" ht="15" customHeight="1" s="20">
      <c r="A14" s="37" t="inlineStr">
        <is>
          <t>AUTH</t>
        </is>
      </c>
      <c r="B14" s="33" t="inlineStr">
        <is>
          <t>CT-AUTH-011</t>
        </is>
      </c>
      <c r="C14" s="33" t="inlineStr">
        <is>
          <t>Logout web</t>
        </is>
      </c>
      <c r="D14" s="33" t="inlineStr">
        <is>
          <t>Intégration</t>
        </is>
      </c>
      <c r="E14" s="33" t="inlineStr">
        <is>
          <t>Haute</t>
        </is>
      </c>
      <c r="F14" s="33" t="inlineStr">
        <is>
          <t>Cookie session présent</t>
        </is>
      </c>
      <c r="G14" s="33" t="inlineStr">
        <is>
          <t>—</t>
        </is>
      </c>
      <c r="H14" s="33" t="inlineStr">
        <is>
          <t>POST /api/auth/logout</t>
        </is>
      </c>
      <c r="I14" s="33" t="inlineStr">
        <is>
          <t>HTTP 200 + Set-Cookie supprimant session</t>
        </is>
      </c>
      <c r="J14" s="33" t="inlineStr">
        <is>
          <t>✅</t>
        </is>
      </c>
      <c r="K14" s="33">
        <f>IFERROR(VLOOKUP(B14,'6. AUTH'!A:N,10,FALSE()),"")</f>
        <v/>
      </c>
      <c r="L14" s="33">
        <f>IFERROR(VLOOKUP(B14,'6. AUTH'!A:N,11,FALSE()),"")</f>
        <v/>
      </c>
      <c r="M14" s="33">
        <f>IFERROR(VLOOKUP(B14,'6. AUTH'!A:N,12,FALSE()),"")</f>
        <v/>
      </c>
      <c r="N14" s="33">
        <f>IFERROR(VLOOKUP(B14,'6. AUTH'!A:N,13,FALSE()),"")</f>
        <v/>
      </c>
      <c r="O14" s="33">
        <f>IFERROR(VLOOKUP(B14,'6. AUTH'!A:N,14,FALSE()),"")</f>
        <v/>
      </c>
    </row>
    <row r="15" ht="30.55" customHeight="1" s="20">
      <c r="A15" s="38" t="inlineStr">
        <is>
          <t>AUTH</t>
        </is>
      </c>
      <c r="B15" s="34" t="inlineStr">
        <is>
          <t>CT-AUTH-012</t>
        </is>
      </c>
      <c r="C15" s="34" t="inlineStr">
        <is>
          <t>Logout mobile (best-effort)</t>
        </is>
      </c>
      <c r="D15" s="34" t="inlineStr">
        <is>
          <t>E2E</t>
        </is>
      </c>
      <c r="E15" s="34" t="inlineStr">
        <is>
          <t>Moyenne</t>
        </is>
      </c>
      <c r="F15" s="34" t="inlineStr">
        <is>
          <t>App mobile authentifiée</t>
        </is>
      </c>
      <c r="G15" s="34" t="inlineStr">
        <is>
          <t>—</t>
        </is>
      </c>
      <c r="H15" s="34" t="inlineStr">
        <is>
          <t>App mobile : tap « Se déconnecter »</t>
        </is>
      </c>
      <c r="I15" s="34" t="inlineStr">
        <is>
          <t>• POST /api/auth/logout envoyé
• expo-secure-store ne contient plus cesizen_token
• Redirection vers écran login</t>
        </is>
      </c>
      <c r="J15" s="34" t="inlineStr">
        <is>
          <t>✅ Maestro 06-logout.yaml + Jest AuthContext.test.tsx</t>
        </is>
      </c>
      <c r="K15" s="34">
        <f>IFERROR(VLOOKUP(B15,'6. AUTH'!A:N,10,FALSE()),"")</f>
        <v/>
      </c>
      <c r="L15" s="34">
        <f>IFERROR(VLOOKUP(B15,'6. AUTH'!A:N,11,FALSE()),"")</f>
        <v/>
      </c>
      <c r="M15" s="34">
        <f>IFERROR(VLOOKUP(B15,'6. AUTH'!A:N,12,FALSE()),"")</f>
        <v/>
      </c>
      <c r="N15" s="34">
        <f>IFERROR(VLOOKUP(B15,'6. AUTH'!A:N,13,FALSE()),"")</f>
        <v/>
      </c>
      <c r="O15" s="34">
        <f>IFERROR(VLOOKUP(B15,'6. AUTH'!A:N,14,FALSE()),"")</f>
        <v/>
      </c>
    </row>
    <row r="16" ht="15" customHeight="1" s="20">
      <c r="A16" s="37" t="inlineStr">
        <is>
          <t>AUTH</t>
        </is>
      </c>
      <c r="B16" s="33" t="inlineStr">
        <is>
          <t>CT-AUTH-013</t>
        </is>
      </c>
      <c r="C16" s="33" t="inlineStr">
        <is>
          <t>Mot de passe sans majuscule</t>
        </is>
      </c>
      <c r="D16" s="33" t="inlineStr">
        <is>
          <t>Intégration</t>
        </is>
      </c>
      <c r="E16" s="33" t="inlineStr">
        <is>
          <t>Haute</t>
        </is>
      </c>
      <c r="F16" s="33" t="inlineStr">
        <is>
          <t>—</t>
        </is>
      </c>
      <c r="G16" s="33" t="inlineStr">
        <is>
          <t>password=alllower1</t>
        </is>
      </c>
      <c r="H16" s="33" t="inlineStr">
        <is>
          <t>register avec password=alllower1</t>
        </is>
      </c>
      <c r="I16" s="33" t="inlineStr">
        <is>
          <t>HTTP 400 + fieldErrors.password</t>
        </is>
      </c>
      <c r="J16" s="33" t="inlineStr">
        <is>
          <t>✅</t>
        </is>
      </c>
      <c r="K16" s="33">
        <f>IFERROR(VLOOKUP(B16,'6. AUTH'!A:N,10,FALSE()),"")</f>
        <v/>
      </c>
      <c r="L16" s="33">
        <f>IFERROR(VLOOKUP(B16,'6. AUTH'!A:N,11,FALSE()),"")</f>
        <v/>
      </c>
      <c r="M16" s="33">
        <f>IFERROR(VLOOKUP(B16,'6. AUTH'!A:N,12,FALSE()),"")</f>
        <v/>
      </c>
      <c r="N16" s="33">
        <f>IFERROR(VLOOKUP(B16,'6. AUTH'!A:N,13,FALSE()),"")</f>
        <v/>
      </c>
      <c r="O16" s="33">
        <f>IFERROR(VLOOKUP(B16,'6. AUTH'!A:N,14,FALSE()),"")</f>
        <v/>
      </c>
    </row>
    <row r="17" ht="15" customHeight="1" s="20">
      <c r="A17" s="38" t="inlineStr">
        <is>
          <t>AUTH</t>
        </is>
      </c>
      <c r="B17" s="34" t="inlineStr">
        <is>
          <t>CT-AUTH-014</t>
        </is>
      </c>
      <c r="C17" s="34" t="inlineStr">
        <is>
          <t>Mot de passe sans chiffre</t>
        </is>
      </c>
      <c r="D17" s="34" t="inlineStr">
        <is>
          <t>Intégration</t>
        </is>
      </c>
      <c r="E17" s="34" t="inlineStr">
        <is>
          <t>Haute</t>
        </is>
      </c>
      <c r="F17" s="34" t="inlineStr">
        <is>
          <t>—</t>
        </is>
      </c>
      <c r="G17" s="34" t="inlineStr">
        <is>
          <t>password=NoDigitsHere</t>
        </is>
      </c>
      <c r="H17" s="34" t="inlineStr">
        <is>
          <t>register avec password=NoDigitsHere</t>
        </is>
      </c>
      <c r="I17" s="34" t="inlineStr">
        <is>
          <t>HTTP 400</t>
        </is>
      </c>
      <c r="J17" s="34" t="inlineStr">
        <is>
          <t>✅</t>
        </is>
      </c>
      <c r="K17" s="34">
        <f>IFERROR(VLOOKUP(B17,'6. AUTH'!A:N,10,FALSE()),"")</f>
        <v/>
      </c>
      <c r="L17" s="34">
        <f>IFERROR(VLOOKUP(B17,'6. AUTH'!A:N,11,FALSE()),"")</f>
        <v/>
      </c>
      <c r="M17" s="34">
        <f>IFERROR(VLOOKUP(B17,'6. AUTH'!A:N,12,FALSE()),"")</f>
        <v/>
      </c>
      <c r="N17" s="34">
        <f>IFERROR(VLOOKUP(B17,'6. AUTH'!A:N,13,FALSE()),"")</f>
        <v/>
      </c>
      <c r="O17" s="34">
        <f>IFERROR(VLOOKUP(B17,'6. AUTH'!A:N,14,FALSE()),"")</f>
        <v/>
      </c>
    </row>
    <row r="18" ht="20.85" customHeight="1" s="20">
      <c r="A18" s="37" t="inlineStr">
        <is>
          <t>AUTH</t>
        </is>
      </c>
      <c r="B18" s="33" t="inlineStr">
        <is>
          <t>CT-AUTH-015</t>
        </is>
      </c>
      <c r="C18" s="33" t="inlineStr">
        <is>
          <t>confirmPassword ne correspond pas</t>
        </is>
      </c>
      <c r="D18" s="33" t="inlineStr">
        <is>
          <t>Intégration</t>
        </is>
      </c>
      <c r="E18" s="33" t="inlineStr">
        <is>
          <t>Haute</t>
        </is>
      </c>
      <c r="F18" s="33" t="inlineStr">
        <is>
          <t>—</t>
        </is>
      </c>
      <c r="G18" s="33" t="inlineStr">
        <is>
          <t>password=Password1, confirmPassword=Password2</t>
        </is>
      </c>
      <c r="H18" s="33" t="inlineStr">
        <is>
          <t>register avec mots de passe différents</t>
        </is>
      </c>
      <c r="I18" s="33" t="inlineStr">
        <is>
          <t>HTTP 400 + fieldErrors.confirmPassword</t>
        </is>
      </c>
      <c r="J18" s="33" t="inlineStr">
        <is>
          <t>✅</t>
        </is>
      </c>
      <c r="K18" s="33">
        <f>IFERROR(VLOOKUP(B18,'6. AUTH'!A:N,10,FALSE()),"")</f>
        <v/>
      </c>
      <c r="L18" s="33">
        <f>IFERROR(VLOOKUP(B18,'6. AUTH'!A:N,11,FALSE()),"")</f>
        <v/>
      </c>
      <c r="M18" s="33">
        <f>IFERROR(VLOOKUP(B18,'6. AUTH'!A:N,12,FALSE()),"")</f>
        <v/>
      </c>
      <c r="N18" s="33">
        <f>IFERROR(VLOOKUP(B18,'6. AUTH'!A:N,13,FALSE()),"")</f>
        <v/>
      </c>
      <c r="O18" s="33">
        <f>IFERROR(VLOOKUP(B18,'6. AUTH'!A:N,14,FALSE()),"")</f>
        <v/>
      </c>
    </row>
    <row r="19" ht="20.85" customHeight="1" s="20">
      <c r="A19" s="38" t="inlineStr">
        <is>
          <t>JRN</t>
        </is>
      </c>
      <c r="B19" s="34" t="inlineStr">
        <is>
          <t>CT-JRN-001</t>
        </is>
      </c>
      <c r="C19" s="34" t="inlineStr">
        <is>
          <t>Création d'une entrée minimale (sans note ni tags)</t>
        </is>
      </c>
      <c r="D19" s="34" t="inlineStr">
        <is>
          <t>Intégration</t>
        </is>
      </c>
      <c r="E19" s="34" t="inlineStr">
        <is>
          <t>Bloquant</t>
        </is>
      </c>
      <c r="F19" s="34" t="inlineStr">
        <is>
          <t>User authentifié, émotion id=1 existe</t>
        </is>
      </c>
      <c r="G19" s="34" t="inlineStr">
        <is>
          <t>{ emotionId: 1, intensity: 5 }</t>
        </is>
      </c>
      <c r="H19" s="34" t="inlineStr">
        <is>
          <t>POST /api/entries</t>
        </is>
      </c>
      <c r="I19" s="34" t="inlineStr">
        <is>
          <t>HTTP 200 + ligne entries créée avec userId, emotionId, intensity, noteEncrypted=null, contextTags=[]</t>
        </is>
      </c>
      <c r="J19" s="34" t="inlineStr">
        <is>
          <t>✅</t>
        </is>
      </c>
      <c r="K19" s="34">
        <f>IFERROR(VLOOKUP(B19,'7. JRN'!A:N,10,FALSE()),"")</f>
        <v/>
      </c>
      <c r="L19" s="34">
        <f>IFERROR(VLOOKUP(B19,'7. JRN'!A:N,11,FALSE()),"")</f>
        <v/>
      </c>
      <c r="M19" s="34">
        <f>IFERROR(VLOOKUP(B19,'7. JRN'!A:N,12,FALSE()),"")</f>
        <v/>
      </c>
      <c r="N19" s="34">
        <f>IFERROR(VLOOKUP(B19,'7. JRN'!A:N,13,FALSE()),"")</f>
        <v/>
      </c>
      <c r="O19" s="34">
        <f>IFERROR(VLOOKUP(B19,'7. JRN'!A:N,14,FALSE()),"")</f>
        <v/>
      </c>
    </row>
    <row r="20" ht="40.25" customHeight="1" s="20">
      <c r="A20" s="37" t="inlineStr">
        <is>
          <t>JRN</t>
        </is>
      </c>
      <c r="B20" s="33" t="inlineStr">
        <is>
          <t>CT-JRN-002</t>
        </is>
      </c>
      <c r="C20" s="33" t="inlineStr">
        <is>
          <t>Création d'une entrée complète (note + tags)</t>
        </is>
      </c>
      <c r="D20" s="33" t="inlineStr">
        <is>
          <t>Intégration</t>
        </is>
      </c>
      <c r="E20" s="33" t="inlineStr">
        <is>
          <t>Bloquant</t>
        </is>
      </c>
      <c r="F20" s="33" t="inlineStr">
        <is>
          <t>User authentifié</t>
        </is>
      </c>
      <c r="G20" s="33" t="inlineStr">
        <is>
          <t>emotionId=1, intensity=7, note='Ma note privée', contextTags=['travail','sommeil']</t>
        </is>
      </c>
      <c r="H20" s="33" t="inlineStr">
        <is>
          <t>POST /api/entries</t>
        </is>
      </c>
      <c r="I20" s="33" t="inlineStr">
        <is>
          <t>• HTTP 200
• En DB : noteEncrypted au format iv:tag:cipher (pas en clair)
• contextTags = tableau des 2 tags</t>
        </is>
      </c>
      <c r="J20" s="33" t="inlineStr">
        <is>
          <t>✅</t>
        </is>
      </c>
      <c r="K20" s="33">
        <f>IFERROR(VLOOKUP(B20,'7. JRN'!A:N,10,FALSE()),"")</f>
        <v/>
      </c>
      <c r="L20" s="33">
        <f>IFERROR(VLOOKUP(B20,'7. JRN'!A:N,11,FALSE()),"")</f>
        <v/>
      </c>
      <c r="M20" s="33">
        <f>IFERROR(VLOOKUP(B20,'7. JRN'!A:N,12,FALSE()),"")</f>
        <v/>
      </c>
      <c r="N20" s="33">
        <f>IFERROR(VLOOKUP(B20,'7. JRN'!A:N,13,FALSE()),"")</f>
        <v/>
      </c>
      <c r="O20" s="33">
        <f>IFERROR(VLOOKUP(B20,'7. JRN'!A:N,14,FALSE()),"")</f>
        <v/>
      </c>
    </row>
    <row r="21" ht="30.55" customHeight="1" s="20">
      <c r="A21" s="38" t="inlineStr">
        <is>
          <t>JRN</t>
        </is>
      </c>
      <c r="B21" s="34" t="inlineStr">
        <is>
          <t>CT-JRN-003</t>
        </is>
      </c>
      <c r="C21" s="34" t="inlineStr">
        <is>
          <t>Lecture des entrées (note déchiffrée)</t>
        </is>
      </c>
      <c r="D21" s="34" t="inlineStr">
        <is>
          <t>Intégration</t>
        </is>
      </c>
      <c r="E21" s="34" t="inlineStr">
        <is>
          <t>Bloquant</t>
        </is>
      </c>
      <c r="F21" s="34" t="inlineStr">
        <is>
          <t>Suite à CT-JRN-002</t>
        </is>
      </c>
      <c r="G21" s="34" t="inlineStr">
        <is>
          <t>—</t>
        </is>
      </c>
      <c r="H21" s="34" t="inlineStr">
        <is>
          <t>GET /api/entries</t>
        </is>
      </c>
      <c r="I21" s="34" t="inlineStr">
        <is>
          <t>• HTTP 200
• body[0].note === 'Ma note privée' (déchiffré)
• body[0].noteEncrypted === undefined (strippé)</t>
        </is>
      </c>
      <c r="J21" s="34" t="inlineStr">
        <is>
          <t>✅</t>
        </is>
      </c>
      <c r="K21" s="34">
        <f>IFERROR(VLOOKUP(B21,'7. JRN'!A:N,10,FALSE()),"")</f>
        <v/>
      </c>
      <c r="L21" s="34">
        <f>IFERROR(VLOOKUP(B21,'7. JRN'!A:N,11,FALSE()),"")</f>
        <v/>
      </c>
      <c r="M21" s="34">
        <f>IFERROR(VLOOKUP(B21,'7. JRN'!A:N,12,FALSE()),"")</f>
        <v/>
      </c>
      <c r="N21" s="34">
        <f>IFERROR(VLOOKUP(B21,'7. JRN'!A:N,13,FALSE()),"")</f>
        <v/>
      </c>
      <c r="O21" s="34">
        <f>IFERROR(VLOOKUP(B21,'7. JRN'!A:N,14,FALSE()),"")</f>
        <v/>
      </c>
    </row>
    <row r="22" ht="15" customHeight="1" s="20">
      <c r="A22" s="37" t="inlineStr">
        <is>
          <t>JRN</t>
        </is>
      </c>
      <c r="B22" s="33" t="inlineStr">
        <is>
          <t>CT-JRN-004</t>
        </is>
      </c>
      <c r="C22" s="33" t="inlineStr">
        <is>
          <t>Lecture filtrée par dates</t>
        </is>
      </c>
      <c r="D22" s="33" t="inlineStr">
        <is>
          <t>Intégration</t>
        </is>
      </c>
      <c r="E22" s="33" t="inlineStr">
        <is>
          <t>Haute</t>
        </is>
      </c>
      <c r="F22" s="33" t="inlineStr">
        <is>
          <t>Plusieurs entrées en base</t>
        </is>
      </c>
      <c r="G22" s="33" t="inlineStr">
        <is>
          <t>startDate, endDate</t>
        </is>
      </c>
      <c r="H22" s="33" t="inlineStr">
        <is>
          <t>GET /api/entries?startDate=...&amp;endDate=...</t>
        </is>
      </c>
      <c r="I22" s="33" t="inlineStr">
        <is>
          <t>Seules les entrées dans la fenêtre sont retournées</t>
        </is>
      </c>
      <c r="J22" s="33" t="inlineStr">
        <is>
          <t>✅</t>
        </is>
      </c>
      <c r="K22" s="33">
        <f>IFERROR(VLOOKUP(B22,'7. JRN'!A:N,10,FALSE()),"")</f>
        <v/>
      </c>
      <c r="L22" s="33">
        <f>IFERROR(VLOOKUP(B22,'7. JRN'!A:N,11,FALSE()),"")</f>
        <v/>
      </c>
      <c r="M22" s="33">
        <f>IFERROR(VLOOKUP(B22,'7. JRN'!A:N,12,FALSE()),"")</f>
        <v/>
      </c>
      <c r="N22" s="33">
        <f>IFERROR(VLOOKUP(B22,'7. JRN'!A:N,13,FALSE()),"")</f>
        <v/>
      </c>
      <c r="O22" s="33">
        <f>IFERROR(VLOOKUP(B22,'7. JRN'!A:N,14,FALSE()),"")</f>
        <v/>
      </c>
    </row>
    <row r="23" ht="20.85" customHeight="1" s="20">
      <c r="A23" s="38" t="inlineStr">
        <is>
          <t>JRN</t>
        </is>
      </c>
      <c r="B23" s="34" t="inlineStr">
        <is>
          <t>CT-JRN-005</t>
        </is>
      </c>
      <c r="C23" s="34" t="inlineStr">
        <is>
          <t>Note stockée chiffrée en DB</t>
        </is>
      </c>
      <c r="D23" s="34" t="inlineStr">
        <is>
          <t>Intégration</t>
        </is>
      </c>
      <c r="E23" s="34" t="inlineStr">
        <is>
          <t>Bloquant (sécurité)</t>
        </is>
      </c>
      <c r="F23" s="34" t="inlineStr">
        <is>
          <t>—</t>
        </is>
      </c>
      <c r="G23" s="34" t="inlineStr">
        <is>
          <t>note='secret'</t>
        </is>
      </c>
      <c r="H23" s="34" t="inlineStr">
        <is>
          <t>• Créer entrée avec note 'secret'
• Lire entries.note_encrypted directement en SQL</t>
        </is>
      </c>
      <c r="I23" s="34" t="inlineStr">
        <is>
          <t>• Pas de 'secret' en clair
• Format iv:tag:cipher (3 parties hex séparées par :)</t>
        </is>
      </c>
      <c r="J23" s="34" t="inlineStr">
        <is>
          <t>✅ via encryption.test.ts + entries.test.ts</t>
        </is>
      </c>
      <c r="K23" s="34">
        <f>IFERROR(VLOOKUP(B23,'7. JRN'!A:N,10,FALSE()),"")</f>
        <v/>
      </c>
      <c r="L23" s="34">
        <f>IFERROR(VLOOKUP(B23,'7. JRN'!A:N,11,FALSE()),"")</f>
        <v/>
      </c>
      <c r="M23" s="34">
        <f>IFERROR(VLOOKUP(B23,'7. JRN'!A:N,12,FALSE()),"")</f>
        <v/>
      </c>
      <c r="N23" s="34">
        <f>IFERROR(VLOOKUP(B23,'7. JRN'!A:N,13,FALSE()),"")</f>
        <v/>
      </c>
      <c r="O23" s="34">
        <f>IFERROR(VLOOKUP(B23,'7. JRN'!A:N,14,FALSE()),"")</f>
        <v/>
      </c>
    </row>
    <row r="24" ht="15" customHeight="1" s="20">
      <c r="A24" s="37" t="inlineStr">
        <is>
          <t>JRN</t>
        </is>
      </c>
      <c r="B24" s="33" t="inlineStr">
        <is>
          <t>CT-JRN-006</t>
        </is>
      </c>
      <c r="C24" s="33" t="inlineStr">
        <is>
          <t>Intensité &lt; 1 rejetée</t>
        </is>
      </c>
      <c r="D24" s="33" t="inlineStr">
        <is>
          <t>Intégration</t>
        </is>
      </c>
      <c r="E24" s="33" t="inlineStr">
        <is>
          <t>Haute</t>
        </is>
      </c>
      <c r="F24" s="33" t="inlineStr">
        <is>
          <t>—</t>
        </is>
      </c>
      <c r="G24" s="33" t="inlineStr">
        <is>
          <t>{ emotionId: 1, intensity: 0 }</t>
        </is>
      </c>
      <c r="H24" s="33" t="inlineStr">
        <is>
          <t>POST /api/entries</t>
        </is>
      </c>
      <c r="I24" s="33" t="inlineStr">
        <is>
          <t>HTTP 400 + fieldErrors.intensity</t>
        </is>
      </c>
      <c r="J24" s="33" t="inlineStr">
        <is>
          <t>✅</t>
        </is>
      </c>
      <c r="K24" s="33">
        <f>IFERROR(VLOOKUP(B24,'7. JRN'!A:N,10,FALSE()),"")</f>
        <v/>
      </c>
      <c r="L24" s="33">
        <f>IFERROR(VLOOKUP(B24,'7. JRN'!A:N,11,FALSE()),"")</f>
        <v/>
      </c>
      <c r="M24" s="33">
        <f>IFERROR(VLOOKUP(B24,'7. JRN'!A:N,12,FALSE()),"")</f>
        <v/>
      </c>
      <c r="N24" s="33">
        <f>IFERROR(VLOOKUP(B24,'7. JRN'!A:N,13,FALSE()),"")</f>
        <v/>
      </c>
      <c r="O24" s="33">
        <f>IFERROR(VLOOKUP(B24,'7. JRN'!A:N,14,FALSE()),"")</f>
        <v/>
      </c>
    </row>
    <row r="25" ht="15" customHeight="1" s="20">
      <c r="A25" s="38" t="inlineStr">
        <is>
          <t>JRN</t>
        </is>
      </c>
      <c r="B25" s="34" t="inlineStr">
        <is>
          <t>CT-JRN-007</t>
        </is>
      </c>
      <c r="C25" s="34" t="inlineStr">
        <is>
          <t>Intensité &gt; 10 rejetée</t>
        </is>
      </c>
      <c r="D25" s="34" t="inlineStr">
        <is>
          <t>Intégration</t>
        </is>
      </c>
      <c r="E25" s="34" t="inlineStr">
        <is>
          <t>Haute</t>
        </is>
      </c>
      <c r="F25" s="34" t="inlineStr">
        <is>
          <t>—</t>
        </is>
      </c>
      <c r="G25" s="34" t="inlineStr">
        <is>
          <t>{ emotionId: 1, intensity: 99 }</t>
        </is>
      </c>
      <c r="H25" s="34" t="inlineStr">
        <is>
          <t>POST /api/entries</t>
        </is>
      </c>
      <c r="I25" s="34" t="inlineStr">
        <is>
          <t>HTTP 400</t>
        </is>
      </c>
      <c r="J25" s="34" t="inlineStr">
        <is>
          <t>✅</t>
        </is>
      </c>
      <c r="K25" s="34">
        <f>IFERROR(VLOOKUP(B25,'7. JRN'!A:N,10,FALSE()),"")</f>
        <v/>
      </c>
      <c r="L25" s="34">
        <f>IFERROR(VLOOKUP(B25,'7. JRN'!A:N,11,FALSE()),"")</f>
        <v/>
      </c>
      <c r="M25" s="34">
        <f>IFERROR(VLOOKUP(B25,'7. JRN'!A:N,12,FALSE()),"")</f>
        <v/>
      </c>
      <c r="N25" s="34">
        <f>IFERROR(VLOOKUP(B25,'7. JRN'!A:N,13,FALSE()),"")</f>
        <v/>
      </c>
      <c r="O25" s="34">
        <f>IFERROR(VLOOKUP(B25,'7. JRN'!A:N,14,FALSE()),"")</f>
        <v/>
      </c>
    </row>
    <row r="26" ht="15" customHeight="1" s="20">
      <c r="A26" s="37" t="inlineStr">
        <is>
          <t>JRN</t>
        </is>
      </c>
      <c r="B26" s="33" t="inlineStr">
        <is>
          <t>CT-JRN-008</t>
        </is>
      </c>
      <c r="C26" s="33" t="inlineStr">
        <is>
          <t>Note &gt; 2000 caractères rejetée</t>
        </is>
      </c>
      <c r="D26" s="33" t="inlineStr">
        <is>
          <t>Intégration</t>
        </is>
      </c>
      <c r="E26" s="33" t="inlineStr">
        <is>
          <t>Moyenne</t>
        </is>
      </c>
      <c r="F26" s="33" t="inlineStr">
        <is>
          <t>—</t>
        </is>
      </c>
      <c r="G26" s="33" t="inlineStr">
        <is>
          <t>note = 'x'.repeat(2001)</t>
        </is>
      </c>
      <c r="H26" s="33" t="inlineStr">
        <is>
          <t>POST /api/entries</t>
        </is>
      </c>
      <c r="I26" s="33" t="inlineStr">
        <is>
          <t>HTTP 400 + fieldErrors.note</t>
        </is>
      </c>
      <c r="J26" s="33" t="inlineStr">
        <is>
          <t>✅</t>
        </is>
      </c>
      <c r="K26" s="33">
        <f>IFERROR(VLOOKUP(B26,'7. JRN'!A:N,10,FALSE()),"")</f>
        <v/>
      </c>
      <c r="L26" s="33">
        <f>IFERROR(VLOOKUP(B26,'7. JRN'!A:N,11,FALSE()),"")</f>
        <v/>
      </c>
      <c r="M26" s="33">
        <f>IFERROR(VLOOKUP(B26,'7. JRN'!A:N,12,FALSE()),"")</f>
        <v/>
      </c>
      <c r="N26" s="33">
        <f>IFERROR(VLOOKUP(B26,'7. JRN'!A:N,13,FALSE()),"")</f>
        <v/>
      </c>
      <c r="O26" s="33">
        <f>IFERROR(VLOOKUP(B26,'7. JRN'!A:N,14,FALSE()),"")</f>
        <v/>
      </c>
    </row>
    <row r="27" ht="20.85" customHeight="1" s="20">
      <c r="A27" s="38" t="inlineStr">
        <is>
          <t>JRN</t>
        </is>
      </c>
      <c r="B27" s="34" t="inlineStr">
        <is>
          <t>CT-JRN-009</t>
        </is>
      </c>
      <c r="C27" s="34" t="inlineStr">
        <is>
          <t>Ownership : un user ne voit pas les entrées d'un autre</t>
        </is>
      </c>
      <c r="D27" s="34" t="inlineStr">
        <is>
          <t>Intégration</t>
        </is>
      </c>
      <c r="E27" s="34" t="inlineStr">
        <is>
          <t>Bloquant (sécurité)</t>
        </is>
      </c>
      <c r="F27" s="34" t="inlineStr">
        <is>
          <t>userA a 1 entrée, userB authentifié</t>
        </is>
      </c>
      <c r="G27" s="34" t="inlineStr">
        <is>
          <t>—</t>
        </is>
      </c>
      <c r="H27" s="34" t="inlineStr">
        <is>
          <t>GET /api/entries avec token de userB</t>
        </is>
      </c>
      <c r="I27" s="34" t="inlineStr">
        <is>
          <t>body = [] (pas d'entrée de userA)</t>
        </is>
      </c>
      <c r="J27" s="34" t="inlineStr">
        <is>
          <t>✅</t>
        </is>
      </c>
      <c r="K27" s="34">
        <f>IFERROR(VLOOKUP(B27,'7. JRN'!A:N,10,FALSE()),"")</f>
        <v/>
      </c>
      <c r="L27" s="34">
        <f>IFERROR(VLOOKUP(B27,'7. JRN'!A:N,11,FALSE()),"")</f>
        <v/>
      </c>
      <c r="M27" s="34">
        <f>IFERROR(VLOOKUP(B27,'7. JRN'!A:N,12,FALSE()),"")</f>
        <v/>
      </c>
      <c r="N27" s="34">
        <f>IFERROR(VLOOKUP(B27,'7. JRN'!A:N,13,FALSE()),"")</f>
        <v/>
      </c>
      <c r="O27" s="34">
        <f>IFERROR(VLOOKUP(B27,'7. JRN'!A:N,14,FALSE()),"")</f>
        <v/>
      </c>
    </row>
    <row r="28" ht="20.85" customHeight="1" s="20">
      <c r="A28" s="37" t="inlineStr">
        <is>
          <t>JRN</t>
        </is>
      </c>
      <c r="B28" s="33" t="inlineStr">
        <is>
          <t>CT-JRN-010</t>
        </is>
      </c>
      <c r="C28" s="33" t="inlineStr">
        <is>
          <t>Ownership : GET d'une entrée d'un autre user → 404</t>
        </is>
      </c>
      <c r="D28" s="33" t="inlineStr">
        <is>
          <t>Intégration</t>
        </is>
      </c>
      <c r="E28" s="33" t="inlineStr">
        <is>
          <t>Bloquant (sécurité)</t>
        </is>
      </c>
      <c r="F28" s="33" t="inlineStr">
        <is>
          <t>Entrée existante de userA</t>
        </is>
      </c>
      <c r="G28" s="33" t="inlineStr">
        <is>
          <t>id de l'entrée userA</t>
        </is>
      </c>
      <c r="H28" s="33" t="inlineStr">
        <is>
          <t>GET /api/entries/[idDeUserA] avec token de userB</t>
        </is>
      </c>
      <c r="I28" s="33" t="inlineStr">
        <is>
          <t>HTTP 404 (pas 403, pour ne pas révéler l'existence)</t>
        </is>
      </c>
      <c r="J28" s="33" t="inlineStr">
        <is>
          <t>✅</t>
        </is>
      </c>
      <c r="K28" s="33">
        <f>IFERROR(VLOOKUP(B28,'7. JRN'!A:N,10,FALSE()),"")</f>
        <v/>
      </c>
      <c r="L28" s="33">
        <f>IFERROR(VLOOKUP(B28,'7. JRN'!A:N,11,FALSE()),"")</f>
        <v/>
      </c>
      <c r="M28" s="33">
        <f>IFERROR(VLOOKUP(B28,'7. JRN'!A:N,12,FALSE()),"")</f>
        <v/>
      </c>
      <c r="N28" s="33">
        <f>IFERROR(VLOOKUP(B28,'7. JRN'!A:N,13,FALSE()),"")</f>
        <v/>
      </c>
      <c r="O28" s="33">
        <f>IFERROR(VLOOKUP(B28,'7. JRN'!A:N,14,FALSE()),"")</f>
        <v/>
      </c>
    </row>
    <row r="29" ht="20.85" customHeight="1" s="20">
      <c r="A29" s="38" t="inlineStr">
        <is>
          <t>JRN</t>
        </is>
      </c>
      <c r="B29" s="34" t="inlineStr">
        <is>
          <t>CT-JRN-011</t>
        </is>
      </c>
      <c r="C29" s="34" t="inlineStr">
        <is>
          <t>Édition d'une entrée</t>
        </is>
      </c>
      <c r="D29" s="34" t="inlineStr">
        <is>
          <t>Intégration</t>
        </is>
      </c>
      <c r="E29" s="34" t="inlineStr">
        <is>
          <t>Haute</t>
        </is>
      </c>
      <c r="F29" s="34" t="inlineStr">
        <is>
          <t>Entrée existante du user</t>
        </is>
      </c>
      <c r="G29" s="34" t="inlineStr">
        <is>
          <t>Nouvelles valeurs</t>
        </is>
      </c>
      <c r="H29" s="34" t="inlineStr">
        <is>
          <t>PUT /api/entries/[id] avec nouvelles valeurs</t>
        </is>
      </c>
      <c r="I29" s="34" t="inlineStr">
        <is>
          <t>HTTP 200 + entrée modifiée + noteEncrypted ré-encrypté</t>
        </is>
      </c>
      <c r="J29" s="34" t="inlineStr">
        <is>
          <t>✅</t>
        </is>
      </c>
      <c r="K29" s="34">
        <f>IFERROR(VLOOKUP(B29,'7. JRN'!A:N,10,FALSE()),"")</f>
        <v/>
      </c>
      <c r="L29" s="34">
        <f>IFERROR(VLOOKUP(B29,'7. JRN'!A:N,11,FALSE()),"")</f>
        <v/>
      </c>
      <c r="M29" s="34">
        <f>IFERROR(VLOOKUP(B29,'7. JRN'!A:N,12,FALSE()),"")</f>
        <v/>
      </c>
      <c r="N29" s="34">
        <f>IFERROR(VLOOKUP(B29,'7. JRN'!A:N,13,FALSE()),"")</f>
        <v/>
      </c>
      <c r="O29" s="34">
        <f>IFERROR(VLOOKUP(B29,'7. JRN'!A:N,14,FALSE()),"")</f>
        <v/>
      </c>
    </row>
    <row r="30" ht="15" customHeight="1" s="20">
      <c r="A30" s="37" t="inlineStr">
        <is>
          <t>JRN</t>
        </is>
      </c>
      <c r="B30" s="33" t="inlineStr">
        <is>
          <t>CT-JRN-012</t>
        </is>
      </c>
      <c r="C30" s="33" t="inlineStr">
        <is>
          <t>Édition d'une entrée d'un autre user → 404</t>
        </is>
      </c>
      <c r="D30" s="33" t="inlineStr">
        <is>
          <t>Intégration</t>
        </is>
      </c>
      <c r="E30" s="33" t="inlineStr">
        <is>
          <t>Bloquant (sécurité)</t>
        </is>
      </c>
      <c r="F30" s="33" t="inlineStr">
        <is>
          <t>Entrée existante de userA</t>
        </is>
      </c>
      <c r="G30" s="33" t="inlineStr">
        <is>
          <t>—</t>
        </is>
      </c>
      <c r="H30" s="33" t="inlineStr">
        <is>
          <t>PUT /api/entries/[idDeUserA] avec token de userB</t>
        </is>
      </c>
      <c r="I30" s="33" t="inlineStr">
        <is>
          <t>HTTP 404, aucune modification en DB</t>
        </is>
      </c>
      <c r="J30" s="33" t="inlineStr">
        <is>
          <t>✅</t>
        </is>
      </c>
      <c r="K30" s="33">
        <f>IFERROR(VLOOKUP(B30,'7. JRN'!A:N,10,FALSE()),"")</f>
        <v/>
      </c>
      <c r="L30" s="33">
        <f>IFERROR(VLOOKUP(B30,'7. JRN'!A:N,11,FALSE()),"")</f>
        <v/>
      </c>
      <c r="M30" s="33">
        <f>IFERROR(VLOOKUP(B30,'7. JRN'!A:N,12,FALSE()),"")</f>
        <v/>
      </c>
      <c r="N30" s="33">
        <f>IFERROR(VLOOKUP(B30,'7. JRN'!A:N,13,FALSE()),"")</f>
        <v/>
      </c>
      <c r="O30" s="33">
        <f>IFERROR(VLOOKUP(B30,'7. JRN'!A:N,14,FALSE()),"")</f>
        <v/>
      </c>
    </row>
    <row r="31" ht="15" customHeight="1" s="20">
      <c r="A31" s="38" t="inlineStr">
        <is>
          <t>JRN</t>
        </is>
      </c>
      <c r="B31" s="34" t="inlineStr">
        <is>
          <t>CT-JRN-013</t>
        </is>
      </c>
      <c r="C31" s="34" t="inlineStr">
        <is>
          <t>Suppression d'une entrée</t>
        </is>
      </c>
      <c r="D31" s="34" t="inlineStr">
        <is>
          <t>Intégration</t>
        </is>
      </c>
      <c r="E31" s="34" t="inlineStr">
        <is>
          <t>Haute</t>
        </is>
      </c>
      <c r="F31" s="34" t="inlineStr">
        <is>
          <t>Entrée existante</t>
        </is>
      </c>
      <c r="G31" s="34" t="inlineStr">
        <is>
          <t>—</t>
        </is>
      </c>
      <c r="H31" s="34" t="inlineStr">
        <is>
          <t>DELETE /api/entries/[id]</t>
        </is>
      </c>
      <c r="I31" s="34" t="inlineStr">
        <is>
          <t>HTTP 200 + ligne supprimée</t>
        </is>
      </c>
      <c r="J31" s="34" t="inlineStr">
        <is>
          <t>✅</t>
        </is>
      </c>
      <c r="K31" s="34">
        <f>IFERROR(VLOOKUP(B31,'7. JRN'!A:N,10,FALSE()),"")</f>
        <v/>
      </c>
      <c r="L31" s="34">
        <f>IFERROR(VLOOKUP(B31,'7. JRN'!A:N,11,FALSE()),"")</f>
        <v/>
      </c>
      <c r="M31" s="34">
        <f>IFERROR(VLOOKUP(B31,'7. JRN'!A:N,12,FALSE()),"")</f>
        <v/>
      </c>
      <c r="N31" s="34">
        <f>IFERROR(VLOOKUP(B31,'7. JRN'!A:N,13,FALSE()),"")</f>
        <v/>
      </c>
      <c r="O31" s="34">
        <f>IFERROR(VLOOKUP(B31,'7. JRN'!A:N,14,FALSE()),"")</f>
        <v/>
      </c>
    </row>
    <row r="32" ht="15" customHeight="1" s="20">
      <c r="A32" s="37" t="inlineStr">
        <is>
          <t>JRN</t>
        </is>
      </c>
      <c r="B32" s="33" t="inlineStr">
        <is>
          <t>CT-JRN-014</t>
        </is>
      </c>
      <c r="C32" s="33" t="inlineStr">
        <is>
          <t>Suppression idempotente (entrée déjà supprimée)</t>
        </is>
      </c>
      <c r="D32" s="33" t="inlineStr">
        <is>
          <t>Intégration</t>
        </is>
      </c>
      <c r="E32" s="33" t="inlineStr">
        <is>
          <t>Basse</t>
        </is>
      </c>
      <c r="F32" s="33" t="inlineStr">
        <is>
          <t>—</t>
        </is>
      </c>
      <c r="G32" s="33" t="inlineStr">
        <is>
          <t>—</t>
        </is>
      </c>
      <c r="H32" s="33" t="inlineStr">
        <is>
          <t>DELETE 2 fois la même entrée</t>
        </is>
      </c>
      <c r="I32" s="33" t="inlineStr">
        <is>
          <t>Les 2 retournent 200 (clause WHERE userId = session)</t>
        </is>
      </c>
      <c r="J32" s="33" t="inlineStr">
        <is>
          <t>Optionnel</t>
        </is>
      </c>
      <c r="K32" s="33">
        <f>IFERROR(VLOOKUP(B32,'7. JRN'!A:N,10,FALSE()),"")</f>
        <v/>
      </c>
      <c r="L32" s="33">
        <f>IFERROR(VLOOKUP(B32,'7. JRN'!A:N,11,FALSE()),"")</f>
        <v/>
      </c>
      <c r="M32" s="33">
        <f>IFERROR(VLOOKUP(B32,'7. JRN'!A:N,12,FALSE()),"")</f>
        <v/>
      </c>
      <c r="N32" s="33">
        <f>IFERROR(VLOOKUP(B32,'7. JRN'!A:N,13,FALSE()),"")</f>
        <v/>
      </c>
      <c r="O32" s="33">
        <f>IFERROR(VLOOKUP(B32,'7. JRN'!A:N,14,FALSE()),"")</f>
        <v/>
      </c>
    </row>
    <row r="33" ht="15" customHeight="1" s="20">
      <c r="A33" s="38" t="inlineStr">
        <is>
          <t>JRN</t>
        </is>
      </c>
      <c r="B33" s="34" t="inlineStr">
        <is>
          <t>CT-JRN-015</t>
        </is>
      </c>
      <c r="C33" s="34" t="inlineStr">
        <is>
          <t>Création requiert authentification</t>
        </is>
      </c>
      <c r="D33" s="34" t="inlineStr">
        <is>
          <t>Intégration</t>
        </is>
      </c>
      <c r="E33" s="34" t="inlineStr">
        <is>
          <t>Bloquant</t>
        </is>
      </c>
      <c r="F33" s="34" t="inlineStr">
        <is>
          <t>—</t>
        </is>
      </c>
      <c r="G33" s="34" t="inlineStr">
        <is>
          <t>—</t>
        </is>
      </c>
      <c r="H33" s="34" t="inlineStr">
        <is>
          <t>POST /api/entries sans token ni cookie</t>
        </is>
      </c>
      <c r="I33" s="34" t="inlineStr">
        <is>
          <t>HTTP 401</t>
        </is>
      </c>
      <c r="J33" s="34" t="inlineStr">
        <is>
          <t>✅</t>
        </is>
      </c>
      <c r="K33" s="34">
        <f>IFERROR(VLOOKUP(B33,'7. JRN'!A:N,10,FALSE()),"")</f>
        <v/>
      </c>
      <c r="L33" s="34">
        <f>IFERROR(VLOOKUP(B33,'7. JRN'!A:N,11,FALSE()),"")</f>
        <v/>
      </c>
      <c r="M33" s="34">
        <f>IFERROR(VLOOKUP(B33,'7. JRN'!A:N,12,FALSE()),"")</f>
        <v/>
      </c>
      <c r="N33" s="34">
        <f>IFERROR(VLOOKUP(B33,'7. JRN'!A:N,13,FALSE()),"")</f>
        <v/>
      </c>
      <c r="O33" s="34">
        <f>IFERROR(VLOOKUP(B33,'7. JRN'!A:N,14,FALSE()),"")</f>
        <v/>
      </c>
    </row>
    <row r="34" ht="15" customHeight="1" s="20">
      <c r="A34" s="37" t="inlineStr">
        <is>
          <t>JRN</t>
        </is>
      </c>
      <c r="B34" s="33" t="inlineStr">
        <is>
          <t>CT-JRN-016</t>
        </is>
      </c>
      <c r="C34" s="33" t="inlineStr">
        <is>
          <t>emotionId inexistant rejeté</t>
        </is>
      </c>
      <c r="D34" s="33" t="inlineStr">
        <is>
          <t>Intégration</t>
        </is>
      </c>
      <c r="E34" s="33" t="inlineStr">
        <is>
          <t>Moyenne</t>
        </is>
      </c>
      <c r="F34" s="33" t="inlineStr">
        <is>
          <t>—</t>
        </is>
      </c>
      <c r="G34" s="33" t="inlineStr">
        <is>
          <t>{ emotionId: 99999, intensity: 5 }</t>
        </is>
      </c>
      <c r="H34" s="33" t="inlineStr">
        <is>
          <t>POST /api/entries</t>
        </is>
      </c>
      <c r="I34" s="33" t="inlineStr">
        <is>
          <t>HTTP 500 (FK violation) ou 400 si validation amont</t>
        </is>
      </c>
      <c r="J34" s="33" t="inlineStr">
        <is>
          <t>À ajouter</t>
        </is>
      </c>
      <c r="K34" s="33">
        <f>IFERROR(VLOOKUP(B34,'7. JRN'!A:N,10,FALSE()),"")</f>
        <v/>
      </c>
      <c r="L34" s="33">
        <f>IFERROR(VLOOKUP(B34,'7. JRN'!A:N,11,FALSE()),"")</f>
        <v/>
      </c>
      <c r="M34" s="33">
        <f>IFERROR(VLOOKUP(B34,'7. JRN'!A:N,12,FALSE()),"")</f>
        <v/>
      </c>
      <c r="N34" s="33">
        <f>IFERROR(VLOOKUP(B34,'7. JRN'!A:N,13,FALSE()),"")</f>
        <v/>
      </c>
      <c r="O34" s="33">
        <f>IFERROR(VLOOKUP(B34,'7. JRN'!A:N,14,FALSE()),"")</f>
        <v/>
      </c>
    </row>
    <row r="35" ht="59.7" customHeight="1" s="20">
      <c r="A35" s="38" t="inlineStr">
        <is>
          <t>JRN</t>
        </is>
      </c>
      <c r="B35" s="34" t="inlineStr">
        <is>
          <t>CT-JRN-017</t>
        </is>
      </c>
      <c r="C35" s="34" t="inlineStr">
        <is>
          <t>Web : ajout d'émotion via flow guidé</t>
        </is>
      </c>
      <c r="D35" s="34" t="inlineStr">
        <is>
          <t>E2E</t>
        </is>
      </c>
      <c r="E35" s="34" t="inlineStr">
        <is>
          <t>Bloquant</t>
        </is>
      </c>
      <c r="F35" s="34" t="inlineStr">
        <is>
          <t>User connecté</t>
        </is>
      </c>
      <c r="G35" s="34" t="inlineStr">
        <is>
          <t>—</t>
        </is>
      </c>
      <c r="H35" s="34" t="inlineStr">
        <is>
          <t>• Login
• Cliquer 'Ajouter une émotion'
• Choisir catégorie → émotion
• Régler intensité
• Saisir note
• Enregistrer</t>
        </is>
      </c>
      <c r="I35" s="34" t="inlineStr">
        <is>
          <t>• Toast de succès
• Carte 'Météo du jour' mise à jour
• Liste 'Entrées récentes' affiche la nouvelle entrée</t>
        </is>
      </c>
      <c r="J35" s="34" t="inlineStr">
        <is>
          <t>Manuel + e2e/journal.spec.ts partiel</t>
        </is>
      </c>
      <c r="K35" s="34">
        <f>IFERROR(VLOOKUP(B35,'7. JRN'!A:N,10,FALSE()),"")</f>
        <v/>
      </c>
      <c r="L35" s="34">
        <f>IFERROR(VLOOKUP(B35,'7. JRN'!A:N,11,FALSE()),"")</f>
        <v/>
      </c>
      <c r="M35" s="34">
        <f>IFERROR(VLOOKUP(B35,'7. JRN'!A:N,12,FALSE()),"")</f>
        <v/>
      </c>
      <c r="N35" s="34">
        <f>IFERROR(VLOOKUP(B35,'7. JRN'!A:N,13,FALSE()),"")</f>
        <v/>
      </c>
      <c r="O35" s="34">
        <f>IFERROR(VLOOKUP(B35,'7. JRN'!A:N,14,FALSE()),"")</f>
        <v/>
      </c>
    </row>
    <row r="36" ht="20.85" customHeight="1" s="20">
      <c r="A36" s="37" t="inlineStr">
        <is>
          <t>JRN</t>
        </is>
      </c>
      <c r="B36" s="33" t="inlineStr">
        <is>
          <t>CT-JRN-018</t>
        </is>
      </c>
      <c r="C36" s="33" t="inlineStr">
        <is>
          <t>Web : édition depuis le calendrier</t>
        </is>
      </c>
      <c r="D36" s="33" t="inlineStr">
        <is>
          <t>Manuel</t>
        </is>
      </c>
      <c r="E36" s="33" t="inlineStr">
        <is>
          <t>Haute</t>
        </is>
      </c>
      <c r="F36" s="33" t="inlineStr">
        <is>
          <t>Une entrée existante</t>
        </is>
      </c>
      <c r="G36" s="33" t="inlineStr">
        <is>
          <t>—</t>
        </is>
      </c>
      <c r="H36" s="33" t="inlineStr">
        <is>
          <t>Dashboard → Journal → cliquer sur une date → modifier intensité → sauver</t>
        </is>
      </c>
      <c r="I36" s="33" t="inlineStr">
        <is>
          <t>Mise à jour reflétée immédiatement</t>
        </is>
      </c>
      <c r="J36" s="33" t="inlineStr">
        <is>
          <t>Non</t>
        </is>
      </c>
      <c r="K36" s="33">
        <f>IFERROR(VLOOKUP(B36,'7. JRN'!A:N,10,FALSE()),"")</f>
        <v/>
      </c>
      <c r="L36" s="33">
        <f>IFERROR(VLOOKUP(B36,'7. JRN'!A:N,11,FALSE()),"")</f>
        <v/>
      </c>
      <c r="M36" s="33">
        <f>IFERROR(VLOOKUP(B36,'7. JRN'!A:N,12,FALSE()),"")</f>
        <v/>
      </c>
      <c r="N36" s="33">
        <f>IFERROR(VLOOKUP(B36,'7. JRN'!A:N,13,FALSE()),"")</f>
        <v/>
      </c>
      <c r="O36" s="33">
        <f>IFERROR(VLOOKUP(B36,'7. JRN'!A:N,14,FALSE()),"")</f>
        <v/>
      </c>
    </row>
    <row r="37" ht="20.85" customHeight="1" s="20">
      <c r="A37" s="38" t="inlineStr">
        <is>
          <t>JRN</t>
        </is>
      </c>
      <c r="B37" s="34" t="inlineStr">
        <is>
          <t>CT-JRN-019</t>
        </is>
      </c>
      <c r="C37" s="34" t="inlineStr">
        <is>
          <t>Mobile : ajout via FAB</t>
        </is>
      </c>
      <c r="D37" s="34" t="inlineStr">
        <is>
          <t>E2E Maestro</t>
        </is>
      </c>
      <c r="E37" s="34" t="inlineStr">
        <is>
          <t>Bloquant</t>
        </is>
      </c>
      <c r="F37" s="34" t="inlineStr">
        <is>
          <t>App authentifiée</t>
        </is>
      </c>
      <c r="G37" s="34" t="inlineStr">
        <is>
          <t>—</t>
        </is>
      </c>
      <c r="H37" s="34" t="inlineStr">
        <is>
          <t>Onglet Journal → FAB + → choisir émotion → enregistrer</t>
        </is>
      </c>
      <c r="I37" s="34" t="inlineStr">
        <is>
          <t>Retour journal, entrée présente</t>
        </is>
      </c>
      <c r="J37" s="34" t="inlineStr">
        <is>
          <t>✅ mobile/.maestro/flows/03-add-entry.yaml</t>
        </is>
      </c>
      <c r="K37" s="34">
        <f>IFERROR(VLOOKUP(B37,'7. JRN'!A:N,10,FALSE()),"")</f>
        <v/>
      </c>
      <c r="L37" s="34">
        <f>IFERROR(VLOOKUP(B37,'7. JRN'!A:N,11,FALSE()),"")</f>
        <v/>
      </c>
      <c r="M37" s="34">
        <f>IFERROR(VLOOKUP(B37,'7. JRN'!A:N,12,FALSE()),"")</f>
        <v/>
      </c>
      <c r="N37" s="34">
        <f>IFERROR(VLOOKUP(B37,'7. JRN'!A:N,13,FALSE()),"")</f>
        <v/>
      </c>
      <c r="O37" s="34">
        <f>IFERROR(VLOOKUP(B37,'7. JRN'!A:N,14,FALSE()),"")</f>
        <v/>
      </c>
    </row>
    <row r="38" ht="20.85" customHeight="1" s="20">
      <c r="A38" s="37" t="inlineStr">
        <is>
          <t>JRN</t>
        </is>
      </c>
      <c r="B38" s="33" t="inlineStr">
        <is>
          <t>CT-JRN-020</t>
        </is>
      </c>
      <c r="C38" s="33" t="inlineStr">
        <is>
          <t>Mobile : édition + suppression</t>
        </is>
      </c>
      <c r="D38" s="33" t="inlineStr">
        <is>
          <t>Manuel</t>
        </is>
      </c>
      <c r="E38" s="33" t="inlineStr">
        <is>
          <t>Haute</t>
        </is>
      </c>
      <c r="F38" s="33" t="inlineStr">
        <is>
          <t>Une entrée existante</t>
        </is>
      </c>
      <c r="G38" s="33" t="inlineStr">
        <is>
          <t>—</t>
        </is>
      </c>
      <c r="H38" s="33" t="inlineStr">
        <is>
          <t>Tap entrée → modifier → sauver, puis supprimer avec alert</t>
        </is>
      </c>
      <c r="I38" s="33" t="inlineStr">
        <is>
          <t>Modification persistée puis entrée disparaît</t>
        </is>
      </c>
      <c r="J38" s="33" t="inlineStr">
        <is>
          <t>Manuel</t>
        </is>
      </c>
      <c r="K38" s="33">
        <f>IFERROR(VLOOKUP(B38,'7. JRN'!A:N,10,FALSE()),"")</f>
        <v/>
      </c>
      <c r="L38" s="33">
        <f>IFERROR(VLOOKUP(B38,'7. JRN'!A:N,11,FALSE()),"")</f>
        <v/>
      </c>
      <c r="M38" s="33">
        <f>IFERROR(VLOOKUP(B38,'7. JRN'!A:N,12,FALSE()),"")</f>
        <v/>
      </c>
      <c r="N38" s="33">
        <f>IFERROR(VLOOKUP(B38,'7. JRN'!A:N,13,FALSE()),"")</f>
        <v/>
      </c>
      <c r="O38" s="33">
        <f>IFERROR(VLOOKUP(B38,'7. JRN'!A:N,14,FALSE()),"")</f>
        <v/>
      </c>
    </row>
    <row r="39" ht="20.85" customHeight="1" s="20">
      <c r="A39" s="38" t="inlineStr">
        <is>
          <t>STAT</t>
        </is>
      </c>
      <c r="B39" s="34" t="inlineStr">
        <is>
          <t>CT-STAT-001</t>
        </is>
      </c>
      <c r="C39" s="34" t="inlineStr">
        <is>
          <t>Stats vides (0 entrée)</t>
        </is>
      </c>
      <c r="D39" s="34" t="inlineStr">
        <is>
          <t>Intégration</t>
        </is>
      </c>
      <c r="E39" s="34" t="inlineStr">
        <is>
          <t>Moyenne</t>
        </is>
      </c>
      <c r="F39" s="34" t="inlineStr">
        <is>
          <t>User sans entrée</t>
        </is>
      </c>
      <c r="G39" s="34" t="inlineStr">
        <is>
          <t>—</t>
        </is>
      </c>
      <c r="H39" s="34" t="inlineStr">
        <is>
          <t>GET /api/entries/stats</t>
        </is>
      </c>
      <c r="I39" s="34" t="inlineStr">
        <is>
          <t>totalEntries=0, dailyAverages=[], recentEntries=[] (pas d'erreur)</t>
        </is>
      </c>
      <c r="J39" s="34" t="inlineStr">
        <is>
          <t>À ajouter</t>
        </is>
      </c>
      <c r="K39" s="34">
        <f>IFERROR(VLOOKUP(B39,'8. STAT'!A:N,10,FALSE()),"")</f>
        <v/>
      </c>
      <c r="L39" s="34">
        <f>IFERROR(VLOOKUP(B39,'8. STAT'!A:N,11,FALSE()),"")</f>
        <v/>
      </c>
      <c r="M39" s="34">
        <f>IFERROR(VLOOKUP(B39,'8. STAT'!A:N,12,FALSE()),"")</f>
        <v/>
      </c>
      <c r="N39" s="34">
        <f>IFERROR(VLOOKUP(B39,'8. STAT'!A:N,13,FALSE()),"")</f>
        <v/>
      </c>
      <c r="O39" s="34">
        <f>IFERROR(VLOOKUP(B39,'8. STAT'!A:N,14,FALSE()),"")</f>
        <v/>
      </c>
    </row>
    <row r="40" ht="15" customHeight="1" s="20">
      <c r="A40" s="37" t="inlineStr">
        <is>
          <t>STAT</t>
        </is>
      </c>
      <c r="B40" s="33" t="inlineStr">
        <is>
          <t>CT-STAT-002</t>
        </is>
      </c>
      <c r="C40" s="33" t="inlineStr">
        <is>
          <t>Stats nominales sur 30 jours</t>
        </is>
      </c>
      <c r="D40" s="33" t="inlineStr">
        <is>
          <t>Intégration</t>
        </is>
      </c>
      <c r="E40" s="33" t="inlineStr">
        <is>
          <t>Haute</t>
        </is>
      </c>
      <c r="F40" s="33" t="inlineStr">
        <is>
          <t>3 entrées dans les 30 jours</t>
        </is>
      </c>
      <c r="G40" s="33" t="inlineStr">
        <is>
          <t>—</t>
        </is>
      </c>
      <c r="H40" s="33" t="inlineStr">
        <is>
          <t>GET /api/entries/stats</t>
        </is>
      </c>
      <c r="I40" s="33" t="inlineStr">
        <is>
          <t>totalEntries=3, dailyAverages avec moyenne par jour</t>
        </is>
      </c>
      <c r="J40" s="33" t="inlineStr">
        <is>
          <t>✅</t>
        </is>
      </c>
      <c r="K40" s="33">
        <f>IFERROR(VLOOKUP(B40,'8. STAT'!A:N,10,FALSE()),"")</f>
        <v/>
      </c>
      <c r="L40" s="33">
        <f>IFERROR(VLOOKUP(B40,'8. STAT'!A:N,11,FALSE()),"")</f>
        <v/>
      </c>
      <c r="M40" s="33">
        <f>IFERROR(VLOOKUP(B40,'8. STAT'!A:N,12,FALSE()),"")</f>
        <v/>
      </c>
      <c r="N40" s="33">
        <f>IFERROR(VLOOKUP(B40,'8. STAT'!A:N,13,FALSE()),"")</f>
        <v/>
      </c>
      <c r="O40" s="33">
        <f>IFERROR(VLOOKUP(B40,'8. STAT'!A:N,14,FALSE()),"")</f>
        <v/>
      </c>
    </row>
    <row r="41" ht="15" customHeight="1" s="20">
      <c r="A41" s="38" t="inlineStr">
        <is>
          <t>STAT</t>
        </is>
      </c>
      <c r="B41" s="34" t="inlineStr">
        <is>
          <t>CT-STAT-003</t>
        </is>
      </c>
      <c r="C41" s="34" t="inlineStr">
        <is>
          <t>detailed-stats sans bornes → 400</t>
        </is>
      </c>
      <c r="D41" s="34" t="inlineStr">
        <is>
          <t>Intégration</t>
        </is>
      </c>
      <c r="E41" s="34" t="inlineStr">
        <is>
          <t>Moyenne</t>
        </is>
      </c>
      <c r="F41" s="34" t="inlineStr">
        <is>
          <t>—</t>
        </is>
      </c>
      <c r="G41" s="34" t="inlineStr">
        <is>
          <t>—</t>
        </is>
      </c>
      <c r="H41" s="34" t="inlineStr">
        <is>
          <t>GET /api/entries/detailed-stats sans paramètres</t>
        </is>
      </c>
      <c r="I41" s="34" t="inlineStr">
        <is>
          <t>HTTP 400</t>
        </is>
      </c>
      <c r="J41" s="34" t="inlineStr">
        <is>
          <t>✅</t>
        </is>
      </c>
      <c r="K41" s="34">
        <f>IFERROR(VLOOKUP(B41,'8. STAT'!A:N,10,FALSE()),"")</f>
        <v/>
      </c>
      <c r="L41" s="34">
        <f>IFERROR(VLOOKUP(B41,'8. STAT'!A:N,11,FALSE()),"")</f>
        <v/>
      </c>
      <c r="M41" s="34">
        <f>IFERROR(VLOOKUP(B41,'8. STAT'!A:N,12,FALSE()),"")</f>
        <v/>
      </c>
      <c r="N41" s="34">
        <f>IFERROR(VLOOKUP(B41,'8. STAT'!A:N,13,FALSE()),"")</f>
        <v/>
      </c>
      <c r="O41" s="34">
        <f>IFERROR(VLOOKUP(B41,'8. STAT'!A:N,14,FALSE()),"")</f>
        <v/>
      </c>
    </row>
    <row r="42" ht="69.40000000000001" customHeight="1" s="20">
      <c r="A42" s="37" t="inlineStr">
        <is>
          <t>STAT</t>
        </is>
      </c>
      <c r="B42" s="33" t="inlineStr">
        <is>
          <t>CT-STAT-004</t>
        </is>
      </c>
      <c r="C42" s="33" t="inlineStr">
        <is>
          <t>detailed-stats — agrégats complets</t>
        </is>
      </c>
      <c r="D42" s="33" t="inlineStr">
        <is>
          <t>Intégration</t>
        </is>
      </c>
      <c r="E42" s="33" t="inlineStr">
        <is>
          <t>Haute</t>
        </is>
      </c>
      <c r="F42" s="33" t="inlineStr">
        <is>
          <t>Historique d'entrées</t>
        </is>
      </c>
      <c r="G42" s="33" t="inlineStr">
        <is>
          <t>startDate, endDate</t>
        </is>
      </c>
      <c r="H42" s="33" t="inlineStr">
        <is>
          <t>GET /api/entries/detailed-stats?startDate=...&amp;endDate=...</t>
        </is>
      </c>
      <c r="I42" s="33" t="inlineStr">
        <is>
          <t>• totalEntries, averageIntensity
• mostFrequentEmotion / Category
• emotionDistribution[] et categoryDistribution[]
• dailyAverages[]
• weekdayDistribution[7], hourDistribution[24]
• streakDays
• contextTagsDistribution[]</t>
        </is>
      </c>
      <c r="J42" s="33" t="inlineStr">
        <is>
          <t>✅</t>
        </is>
      </c>
      <c r="K42" s="33">
        <f>IFERROR(VLOOKUP(B42,'8. STAT'!A:N,10,FALSE()),"")</f>
        <v/>
      </c>
      <c r="L42" s="33">
        <f>IFERROR(VLOOKUP(B42,'8. STAT'!A:N,11,FALSE()),"")</f>
        <v/>
      </c>
      <c r="M42" s="33">
        <f>IFERROR(VLOOKUP(B42,'8. STAT'!A:N,12,FALSE()),"")</f>
        <v/>
      </c>
      <c r="N42" s="33">
        <f>IFERROR(VLOOKUP(B42,'8. STAT'!A:N,13,FALSE()),"")</f>
        <v/>
      </c>
      <c r="O42" s="33">
        <f>IFERROR(VLOOKUP(B42,'8. STAT'!A:N,14,FALSE()),"")</f>
        <v/>
      </c>
    </row>
    <row r="43" ht="30.55" customHeight="1" s="20">
      <c r="A43" s="38" t="inlineStr">
        <is>
          <t>STAT</t>
        </is>
      </c>
      <c r="B43" s="34" t="inlineStr">
        <is>
          <t>CT-STAT-005</t>
        </is>
      </c>
      <c r="C43" s="34" t="inlineStr">
        <is>
          <t>Streak de jours consécutifs</t>
        </is>
      </c>
      <c r="D43" s="34" t="inlineStr">
        <is>
          <t>Intégration</t>
        </is>
      </c>
      <c r="E43" s="34" t="inlineStr">
        <is>
          <t>Moyenne</t>
        </is>
      </c>
      <c r="F43" s="34" t="inlineStr">
        <is>
          <t>3 entrées sur 3 jours consécutifs, puis trou de 5 jours, puis 2 entrées sur 2 jours</t>
        </is>
      </c>
      <c r="G43" s="34" t="inlineStr">
        <is>
          <t>—</t>
        </is>
      </c>
      <c r="H43" s="34" t="inlineStr">
        <is>
          <t>GET /api/entries/detailed-stats</t>
        </is>
      </c>
      <c r="I43" s="34" t="inlineStr">
        <is>
          <t>streakDays = 3 (max)</t>
        </is>
      </c>
      <c r="J43" s="34" t="inlineStr">
        <is>
          <t>À ajouter</t>
        </is>
      </c>
      <c r="K43" s="34">
        <f>IFERROR(VLOOKUP(B43,'8. STAT'!A:N,10,FALSE()),"")</f>
        <v/>
      </c>
      <c r="L43" s="34">
        <f>IFERROR(VLOOKUP(B43,'8. STAT'!A:N,11,FALSE()),"")</f>
        <v/>
      </c>
      <c r="M43" s="34">
        <f>IFERROR(VLOOKUP(B43,'8. STAT'!A:N,12,FALSE()),"")</f>
        <v/>
      </c>
      <c r="N43" s="34">
        <f>IFERROR(VLOOKUP(B43,'8. STAT'!A:N,13,FALSE()),"")</f>
        <v/>
      </c>
      <c r="O43" s="34">
        <f>IFERROR(VLOOKUP(B43,'8. STAT'!A:N,14,FALSE()),"")</f>
        <v/>
      </c>
    </row>
    <row r="44" ht="15" customHeight="1" s="20">
      <c r="A44" s="37" t="inlineStr">
        <is>
          <t>STAT</t>
        </is>
      </c>
      <c r="B44" s="33" t="inlineStr">
        <is>
          <t>CT-STAT-006</t>
        </is>
      </c>
      <c r="C44" s="33" t="inlineStr">
        <is>
          <t>Distribution par jour de la semaine</t>
        </is>
      </c>
      <c r="D44" s="33" t="inlineStr">
        <is>
          <t>Intégration</t>
        </is>
      </c>
      <c r="E44" s="33" t="inlineStr">
        <is>
          <t>Moyenne</t>
        </is>
      </c>
      <c r="F44" s="33" t="inlineStr">
        <is>
          <t>—</t>
        </is>
      </c>
      <c r="G44" s="33" t="inlineStr">
        <is>
          <t>5 entrées un lundi</t>
        </is>
      </c>
      <c r="H44" s="33" t="inlineStr">
        <is>
          <t>Créer 5 entrées un lundi puis GET stats</t>
        </is>
      </c>
      <c r="I44" s="33" t="inlineStr">
        <is>
          <t>weekdayDistribution[1].count = 5, percentage = 100</t>
        </is>
      </c>
      <c r="J44" s="33" t="inlineStr">
        <is>
          <t>À ajouter</t>
        </is>
      </c>
      <c r="K44" s="33">
        <f>IFERROR(VLOOKUP(B44,'8. STAT'!A:N,10,FALSE()),"")</f>
        <v/>
      </c>
      <c r="L44" s="33">
        <f>IFERROR(VLOOKUP(B44,'8. STAT'!A:N,11,FALSE()),"")</f>
        <v/>
      </c>
      <c r="M44" s="33">
        <f>IFERROR(VLOOKUP(B44,'8. STAT'!A:N,12,FALSE()),"")</f>
        <v/>
      </c>
      <c r="N44" s="33">
        <f>IFERROR(VLOOKUP(B44,'8. STAT'!A:N,13,FALSE()),"")</f>
        <v/>
      </c>
      <c r="O44" s="33">
        <f>IFERROR(VLOOKUP(B44,'8. STAT'!A:N,14,FALSE()),"")</f>
        <v/>
      </c>
    </row>
    <row r="45" ht="20.85" customHeight="1" s="20">
      <c r="A45" s="38" t="inlineStr">
        <is>
          <t>STAT</t>
        </is>
      </c>
      <c r="B45" s="34" t="inlineStr">
        <is>
          <t>CT-STAT-007</t>
        </is>
      </c>
      <c r="C45" s="34" t="inlineStr">
        <is>
          <t>Web : sélecteur de période</t>
        </is>
      </c>
      <c r="D45" s="34" t="inlineStr">
        <is>
          <t>E2E</t>
        </is>
      </c>
      <c r="E45" s="34" t="inlineStr">
        <is>
          <t>Haute</t>
        </is>
      </c>
      <c r="F45" s="34" t="inlineStr">
        <is>
          <t>Compte avec historique</t>
        </is>
      </c>
      <c r="G45" s="34" t="inlineStr">
        <is>
          <t>—</t>
        </is>
      </c>
      <c r="H45" s="34" t="inlineStr">
        <is>
          <t>/dashboard/statistiques → cliquer 'Cette semaine' puis 'Mois dernier'</t>
        </is>
      </c>
      <c r="I45" s="34" t="inlineStr">
        <is>
          <t>Refetch + KPI mis à jour</t>
        </is>
      </c>
      <c r="J45" s="34" t="inlineStr">
        <is>
          <t>Manuel</t>
        </is>
      </c>
      <c r="K45" s="34">
        <f>IFERROR(VLOOKUP(B45,'8. STAT'!A:N,10,FALSE()),"")</f>
        <v/>
      </c>
      <c r="L45" s="34">
        <f>IFERROR(VLOOKUP(B45,'8. STAT'!A:N,11,FALSE()),"")</f>
        <v/>
      </c>
      <c r="M45" s="34">
        <f>IFERROR(VLOOKUP(B45,'8. STAT'!A:N,12,FALSE()),"")</f>
        <v/>
      </c>
      <c r="N45" s="34">
        <f>IFERROR(VLOOKUP(B45,'8. STAT'!A:N,13,FALSE()),"")</f>
        <v/>
      </c>
      <c r="O45" s="34">
        <f>IFERROR(VLOOKUP(B45,'8. STAT'!A:N,14,FALSE()),"")</f>
        <v/>
      </c>
    </row>
    <row r="46" ht="15" customHeight="1" s="20">
      <c r="A46" s="37" t="inlineStr">
        <is>
          <t>STAT</t>
        </is>
      </c>
      <c r="B46" s="33" t="inlineStr">
        <is>
          <t>CT-STAT-008</t>
        </is>
      </c>
      <c r="C46" s="33" t="inlineStr">
        <is>
          <t>Mobile : bascule 7j / 30j / 90j</t>
        </is>
      </c>
      <c r="D46" s="33" t="inlineStr">
        <is>
          <t>E2E Maestro</t>
        </is>
      </c>
      <c r="E46" s="33" t="inlineStr">
        <is>
          <t>Haute</t>
        </is>
      </c>
      <c r="F46" s="33" t="inlineStr">
        <is>
          <t>Compte avec historique</t>
        </is>
      </c>
      <c r="G46" s="33" t="inlineStr">
        <is>
          <t>—</t>
        </is>
      </c>
      <c r="H46" s="33" t="inlineStr">
        <is>
          <t>Onglet Stats → switch périodes</t>
        </is>
      </c>
      <c r="I46" s="33" t="inlineStr">
        <is>
          <t>Données cohérentes selon période</t>
        </is>
      </c>
      <c r="J46" s="33" t="inlineStr">
        <is>
          <t>✅ 05-statistiques.yaml</t>
        </is>
      </c>
      <c r="K46" s="33">
        <f>IFERROR(VLOOKUP(B46,'8. STAT'!A:N,10,FALSE()),"")</f>
        <v/>
      </c>
      <c r="L46" s="33">
        <f>IFERROR(VLOOKUP(B46,'8. STAT'!A:N,11,FALSE()),"")</f>
        <v/>
      </c>
      <c r="M46" s="33">
        <f>IFERROR(VLOOKUP(B46,'8. STAT'!A:N,12,FALSE()),"")</f>
        <v/>
      </c>
      <c r="N46" s="33">
        <f>IFERROR(VLOOKUP(B46,'8. STAT'!A:N,13,FALSE()),"")</f>
        <v/>
      </c>
      <c r="O46" s="33">
        <f>IFERROR(VLOOKUP(B46,'8. STAT'!A:N,14,FALSE()),"")</f>
        <v/>
      </c>
    </row>
    <row r="47" ht="15" customHeight="1" s="20">
      <c r="A47" s="38" t="inlineStr">
        <is>
          <t>CONS</t>
        </is>
      </c>
      <c r="B47" s="34" t="inlineStr">
        <is>
          <t>CT-CONS-001</t>
        </is>
      </c>
      <c r="C47" s="34" t="inlineStr">
        <is>
          <t>Liste publique des articles publiés</t>
        </is>
      </c>
      <c r="D47" s="34" t="inlineStr">
        <is>
          <t>Intégration</t>
        </is>
      </c>
      <c r="E47" s="34" t="inlineStr">
        <is>
          <t>Haute</t>
        </is>
      </c>
      <c r="F47" s="34" t="inlineStr">
        <is>
          <t>Articles publiés en DB</t>
        </is>
      </c>
      <c r="G47" s="34" t="inlineStr">
        <is>
          <t>—</t>
        </is>
      </c>
      <c r="H47" s="34" t="inlineStr">
        <is>
          <t>GET /api/articles?publishedOnly=true</t>
        </is>
      </c>
      <c r="I47" s="34" t="inlineStr">
        <is>
          <t>Seuls les articles avec isPublished=true</t>
        </is>
      </c>
      <c r="J47" s="34" t="inlineStr">
        <is>
          <t>✅</t>
        </is>
      </c>
      <c r="K47" s="34">
        <f>IFERROR(VLOOKUP(B47,'9. CONS'!A:N,10,FALSE()),"")</f>
        <v/>
      </c>
      <c r="L47" s="34">
        <f>IFERROR(VLOOKUP(B47,'9. CONS'!A:N,11,FALSE()),"")</f>
        <v/>
      </c>
      <c r="M47" s="34">
        <f>IFERROR(VLOOKUP(B47,'9. CONS'!A:N,12,FALSE()),"")</f>
        <v/>
      </c>
      <c r="N47" s="34">
        <f>IFERROR(VLOOKUP(B47,'9. CONS'!A:N,13,FALSE()),"")</f>
        <v/>
      </c>
      <c r="O47" s="34">
        <f>IFERROR(VLOOKUP(B47,'9. CONS'!A:N,14,FALSE()),"")</f>
        <v/>
      </c>
    </row>
    <row r="48" ht="15" customHeight="1" s="20">
      <c r="A48" s="37" t="inlineStr">
        <is>
          <t>CONS</t>
        </is>
      </c>
      <c r="B48" s="33" t="inlineStr">
        <is>
          <t>CT-CONS-002</t>
        </is>
      </c>
      <c r="C48" s="33" t="inlineStr">
        <is>
          <t>Liste sans filtre (admin)</t>
        </is>
      </c>
      <c r="D48" s="33" t="inlineStr">
        <is>
          <t>Intégration</t>
        </is>
      </c>
      <c r="E48" s="33" t="inlineStr">
        <is>
          <t>Moyenne</t>
        </is>
      </c>
      <c r="F48" s="33" t="inlineStr">
        <is>
          <t>Articles publiés + brouillons</t>
        </is>
      </c>
      <c r="G48" s="33" t="inlineStr">
        <is>
          <t>—</t>
        </is>
      </c>
      <c r="H48" s="33" t="inlineStr">
        <is>
          <t>GET /api/articles</t>
        </is>
      </c>
      <c r="I48" s="33" t="inlineStr">
        <is>
          <t>Tous les articles (drafts inclus)</t>
        </is>
      </c>
      <c r="J48" s="33" t="inlineStr">
        <is>
          <t>✅</t>
        </is>
      </c>
      <c r="K48" s="33">
        <f>IFERROR(VLOOKUP(B48,'9. CONS'!A:N,10,FALSE()),"")</f>
        <v/>
      </c>
      <c r="L48" s="33">
        <f>IFERROR(VLOOKUP(B48,'9. CONS'!A:N,11,FALSE()),"")</f>
        <v/>
      </c>
      <c r="M48" s="33">
        <f>IFERROR(VLOOKUP(B48,'9. CONS'!A:N,12,FALSE()),"")</f>
        <v/>
      </c>
      <c r="N48" s="33">
        <f>IFERROR(VLOOKUP(B48,'9. CONS'!A:N,13,FALSE()),"")</f>
        <v/>
      </c>
      <c r="O48" s="33">
        <f>IFERROR(VLOOKUP(B48,'9. CONS'!A:N,14,FALSE()),"")</f>
        <v/>
      </c>
    </row>
    <row r="49" ht="15" customHeight="1" s="20">
      <c r="A49" s="38" t="inlineStr">
        <is>
          <t>CONS</t>
        </is>
      </c>
      <c r="B49" s="34" t="inlineStr">
        <is>
          <t>CT-CONS-003</t>
        </is>
      </c>
      <c r="C49" s="34" t="inlineStr">
        <is>
          <t>Lookup par slug existant</t>
        </is>
      </c>
      <c r="D49" s="34" t="inlineStr">
        <is>
          <t>Intégration</t>
        </is>
      </c>
      <c r="E49" s="34" t="inlineStr">
        <is>
          <t>Haute</t>
        </is>
      </c>
      <c r="F49" s="34" t="inlineStr">
        <is>
          <t>Article slug='hello'</t>
        </is>
      </c>
      <c r="G49" s="34" t="inlineStr">
        <is>
          <t>—</t>
        </is>
      </c>
      <c r="H49" s="34" t="inlineStr">
        <is>
          <t>GET /api/articles/by-slug/hello</t>
        </is>
      </c>
      <c r="I49" s="34" t="inlineStr">
        <is>
          <t>HTTP 200 + article complet</t>
        </is>
      </c>
      <c r="J49" s="34" t="inlineStr">
        <is>
          <t>✅</t>
        </is>
      </c>
      <c r="K49" s="34">
        <f>IFERROR(VLOOKUP(B49,'9. CONS'!A:N,10,FALSE()),"")</f>
        <v/>
      </c>
      <c r="L49" s="34">
        <f>IFERROR(VLOOKUP(B49,'9. CONS'!A:N,11,FALSE()),"")</f>
        <v/>
      </c>
      <c r="M49" s="34">
        <f>IFERROR(VLOOKUP(B49,'9. CONS'!A:N,12,FALSE()),"")</f>
        <v/>
      </c>
      <c r="N49" s="34">
        <f>IFERROR(VLOOKUP(B49,'9. CONS'!A:N,13,FALSE()),"")</f>
        <v/>
      </c>
      <c r="O49" s="34">
        <f>IFERROR(VLOOKUP(B49,'9. CONS'!A:N,14,FALSE()),"")</f>
        <v/>
      </c>
    </row>
    <row r="50" ht="15" customHeight="1" s="20">
      <c r="A50" s="37" t="inlineStr">
        <is>
          <t>CONS</t>
        </is>
      </c>
      <c r="B50" s="33" t="inlineStr">
        <is>
          <t>CT-CONS-004</t>
        </is>
      </c>
      <c r="C50" s="33" t="inlineStr">
        <is>
          <t>Lookup par slug inexistant</t>
        </is>
      </c>
      <c r="D50" s="33" t="inlineStr">
        <is>
          <t>Intégration</t>
        </is>
      </c>
      <c r="E50" s="33" t="inlineStr">
        <is>
          <t>Moyenne</t>
        </is>
      </c>
      <c r="F50" s="33" t="inlineStr">
        <is>
          <t>—</t>
        </is>
      </c>
      <c r="G50" s="33" t="inlineStr">
        <is>
          <t>—</t>
        </is>
      </c>
      <c r="H50" s="33" t="inlineStr">
        <is>
          <t>GET /api/articles/by-slug/nope</t>
        </is>
      </c>
      <c r="I50" s="33" t="inlineStr">
        <is>
          <t>HTTP 404</t>
        </is>
      </c>
      <c r="J50" s="33" t="inlineStr">
        <is>
          <t>✅</t>
        </is>
      </c>
      <c r="K50" s="33">
        <f>IFERROR(VLOOKUP(B50,'9. CONS'!A:N,10,FALSE()),"")</f>
        <v/>
      </c>
      <c r="L50" s="33">
        <f>IFERROR(VLOOKUP(B50,'9. CONS'!A:N,11,FALSE()),"")</f>
        <v/>
      </c>
      <c r="M50" s="33">
        <f>IFERROR(VLOOKUP(B50,'9. CONS'!A:N,12,FALSE()),"")</f>
        <v/>
      </c>
      <c r="N50" s="33">
        <f>IFERROR(VLOOKUP(B50,'9. CONS'!A:N,13,FALSE()),"")</f>
        <v/>
      </c>
      <c r="O50" s="33">
        <f>IFERROR(VLOOKUP(B50,'9. CONS'!A:N,14,FALSE()),"")</f>
        <v/>
      </c>
    </row>
    <row r="51" ht="15" customHeight="1" s="20">
      <c r="A51" s="38" t="inlineStr">
        <is>
          <t>CONS</t>
        </is>
      </c>
      <c r="B51" s="34" t="inlineStr">
        <is>
          <t>CT-CONS-005</t>
        </is>
      </c>
      <c r="C51" s="34" t="inlineStr">
        <is>
          <t>Recherche client par mot-clé</t>
        </is>
      </c>
      <c r="D51" s="34" t="inlineStr">
        <is>
          <t>Manuel</t>
        </is>
      </c>
      <c r="E51" s="34" t="inlineStr">
        <is>
          <t>Moyenne</t>
        </is>
      </c>
      <c r="F51" s="34" t="inlineStr">
        <is>
          <t>Articles divers</t>
        </is>
      </c>
      <c r="G51" s="34" t="inlineStr">
        <is>
          <t>Mot-clé</t>
        </is>
      </c>
      <c r="H51" s="34" t="inlineStr">
        <is>
          <t>/conseils → champ recherche → saisir un mot</t>
        </is>
      </c>
      <c r="I51" s="34" t="inlineStr">
        <is>
          <t>Liste filtrée (titre + content + excerpt)</t>
        </is>
      </c>
      <c r="J51" s="34" t="inlineStr">
        <is>
          <t>Manuel</t>
        </is>
      </c>
      <c r="K51" s="34">
        <f>IFERROR(VLOOKUP(B51,'9. CONS'!A:N,10,FALSE()),"")</f>
        <v/>
      </c>
      <c r="L51" s="34">
        <f>IFERROR(VLOOKUP(B51,'9. CONS'!A:N,11,FALSE()),"")</f>
        <v/>
      </c>
      <c r="M51" s="34">
        <f>IFERROR(VLOOKUP(B51,'9. CONS'!A:N,12,FALSE()),"")</f>
        <v/>
      </c>
      <c r="N51" s="34">
        <f>IFERROR(VLOOKUP(B51,'9. CONS'!A:N,13,FALSE()),"")</f>
        <v/>
      </c>
      <c r="O51" s="34">
        <f>IFERROR(VLOOKUP(B51,'9. CONS'!A:N,14,FALSE()),"")</f>
        <v/>
      </c>
    </row>
    <row r="52" ht="20.85" customHeight="1" s="20">
      <c r="A52" s="37" t="inlineStr">
        <is>
          <t>CONS</t>
        </is>
      </c>
      <c r="B52" s="33" t="inlineStr">
        <is>
          <t>CT-CONS-006</t>
        </is>
      </c>
      <c r="C52" s="33" t="inlineStr">
        <is>
          <t>Filtre par catégorie</t>
        </is>
      </c>
      <c r="D52" s="33" t="inlineStr">
        <is>
          <t>Manuel + Mobile Maestro</t>
        </is>
      </c>
      <c r="E52" s="33" t="inlineStr">
        <is>
          <t>Moyenne</t>
        </is>
      </c>
      <c r="F52" s="33" t="inlineStr">
        <is>
          <t>Articles dans plusieurs catégories</t>
        </is>
      </c>
      <c r="G52" s="33" t="inlineStr">
        <is>
          <t>—</t>
        </is>
      </c>
      <c r="H52" s="33" t="inlineStr">
        <is>
          <t>Sélectionner une catégorie dans le filtre</t>
        </is>
      </c>
      <c r="I52" s="33" t="inlineStr">
        <is>
          <t>Seuls les articles de cette catégorie</t>
        </is>
      </c>
      <c r="J52" s="33" t="inlineStr">
        <is>
          <t>✅ Mobile partiel</t>
        </is>
      </c>
      <c r="K52" s="33">
        <f>IFERROR(VLOOKUP(B52,'9. CONS'!A:N,10,FALSE()),"")</f>
        <v/>
      </c>
      <c r="L52" s="33">
        <f>IFERROR(VLOOKUP(B52,'9. CONS'!A:N,11,FALSE()),"")</f>
        <v/>
      </c>
      <c r="M52" s="33">
        <f>IFERROR(VLOOKUP(B52,'9. CONS'!A:N,12,FALSE()),"")</f>
        <v/>
      </c>
      <c r="N52" s="33">
        <f>IFERROR(VLOOKUP(B52,'9. CONS'!A:N,13,FALSE()),"")</f>
        <v/>
      </c>
      <c r="O52" s="33">
        <f>IFERROR(VLOOKUP(B52,'9. CONS'!A:N,14,FALSE()),"")</f>
        <v/>
      </c>
    </row>
    <row r="53" ht="30.55" customHeight="1" s="20">
      <c r="A53" s="38" t="inlineStr">
        <is>
          <t>CONS</t>
        </is>
      </c>
      <c r="B53" s="34" t="inlineStr">
        <is>
          <t>CT-CONS-007</t>
        </is>
      </c>
      <c r="C53" s="34" t="inlineStr">
        <is>
          <t>Brouillon non visible côté public</t>
        </is>
      </c>
      <c r="D53" s="34" t="inlineStr">
        <is>
          <t>E2E</t>
        </is>
      </c>
      <c r="E53" s="34" t="inlineStr">
        <is>
          <t>Bloquant</t>
        </is>
      </c>
      <c r="F53" s="34" t="inlineStr">
        <is>
          <t>—</t>
        </is>
      </c>
      <c r="G53" s="34" t="inlineStr">
        <is>
          <t>Article isPublished=false</t>
        </is>
      </c>
      <c r="H53" s="34" t="inlineStr">
        <is>
          <t>• Créer article isPublished=false
• GET /conseils (liste)
• GET /conseils/&lt;slug&gt; direct</t>
        </is>
      </c>
      <c r="I53" s="34" t="inlineStr">
        <is>
          <t>• Liste : article absent
• URL directe : redirige vers 'Article non trouvé' (vérification client)</t>
        </is>
      </c>
      <c r="J53" s="34" t="inlineStr">
        <is>
          <t>✅ partiel</t>
        </is>
      </c>
      <c r="K53" s="34">
        <f>IFERROR(VLOOKUP(B53,'9. CONS'!A:N,10,FALSE()),"")</f>
        <v/>
      </c>
      <c r="L53" s="34">
        <f>IFERROR(VLOOKUP(B53,'9. CONS'!A:N,11,FALSE()),"")</f>
        <v/>
      </c>
      <c r="M53" s="34">
        <f>IFERROR(VLOOKUP(B53,'9. CONS'!A:N,12,FALSE()),"")</f>
        <v/>
      </c>
      <c r="N53" s="34">
        <f>IFERROR(VLOOKUP(B53,'9. CONS'!A:N,13,FALSE()),"")</f>
        <v/>
      </c>
      <c r="O53" s="34">
        <f>IFERROR(VLOOKUP(B53,'9. CONS'!A:N,14,FALSE()),"")</f>
        <v/>
      </c>
    </row>
    <row r="54" ht="15" customHeight="1" s="20">
      <c r="A54" s="37" t="inlineStr">
        <is>
          <t>CONS</t>
        </is>
      </c>
      <c r="B54" s="33" t="inlineStr">
        <is>
          <t>CT-CONS-008</t>
        </is>
      </c>
      <c r="C54" s="33" t="inlineStr">
        <is>
          <t>Brouillon visible côté admin</t>
        </is>
      </c>
      <c r="D54" s="33" t="inlineStr">
        <is>
          <t>Manuel</t>
        </is>
      </c>
      <c r="E54" s="33" t="inlineStr">
        <is>
          <t>Haute</t>
        </is>
      </c>
      <c r="F54" s="33" t="inlineStr">
        <is>
          <t>Brouillon en base</t>
        </is>
      </c>
      <c r="G54" s="33" t="inlineStr">
        <is>
          <t>—</t>
        </is>
      </c>
      <c r="H54" s="33" t="inlineStr">
        <is>
          <t>Admin → /admin/articles</t>
        </is>
      </c>
      <c r="I54" s="33" t="inlineStr">
        <is>
          <t>Brouillons listés avec badge 'Brouillon'</t>
        </is>
      </c>
      <c r="J54" s="33" t="inlineStr">
        <is>
          <t>Manuel</t>
        </is>
      </c>
      <c r="K54" s="33">
        <f>IFERROR(VLOOKUP(B54,'9. CONS'!A:N,10,FALSE()),"")</f>
        <v/>
      </c>
      <c r="L54" s="33">
        <f>IFERROR(VLOOKUP(B54,'9. CONS'!A:N,11,FALSE()),"")</f>
        <v/>
      </c>
      <c r="M54" s="33">
        <f>IFERROR(VLOOKUP(B54,'9. CONS'!A:N,12,FALSE()),"")</f>
        <v/>
      </c>
      <c r="N54" s="33">
        <f>IFERROR(VLOOKUP(B54,'9. CONS'!A:N,13,FALSE()),"")</f>
        <v/>
      </c>
      <c r="O54" s="33">
        <f>IFERROR(VLOOKUP(B54,'9. CONS'!A:N,14,FALSE()),"")</f>
        <v/>
      </c>
    </row>
    <row r="55" ht="30.55" customHeight="1" s="20">
      <c r="A55" s="38" t="inlineStr">
        <is>
          <t>CONS</t>
        </is>
      </c>
      <c r="B55" s="34" t="inlineStr">
        <is>
          <t>CT-CONS-009</t>
        </is>
      </c>
      <c r="C55" s="34" t="inlineStr">
        <is>
          <t>Article HTML rendu correctement</t>
        </is>
      </c>
      <c r="D55" s="34" t="inlineStr">
        <is>
          <t>Manuel</t>
        </is>
      </c>
      <c r="E55" s="34" t="inlineStr">
        <is>
          <t>Haute</t>
        </is>
      </c>
      <c r="F55" s="34" t="inlineStr">
        <is>
          <t>Article avec balises HTML</t>
        </is>
      </c>
      <c r="G55" s="34" t="inlineStr">
        <is>
          <t>—</t>
        </is>
      </c>
      <c r="H55" s="34" t="inlineStr">
        <is>
          <t>Lire un article avec &lt;h1&gt;, &lt;ul&gt;, &lt;a&gt;, &lt;strong&gt;</t>
        </is>
      </c>
      <c r="I55" s="34" t="inlineStr">
        <is>
          <t>Mise en forme préservée (web : dangerouslySetInnerHTML + Tailwind typography ; mobile : react-native-render-html avec styles)</t>
        </is>
      </c>
      <c r="J55" s="34" t="inlineStr">
        <is>
          <t>Manuel</t>
        </is>
      </c>
      <c r="K55" s="34">
        <f>IFERROR(VLOOKUP(B55,'9. CONS'!A:N,10,FALSE()),"")</f>
        <v/>
      </c>
      <c r="L55" s="34">
        <f>IFERROR(VLOOKUP(B55,'9. CONS'!A:N,11,FALSE()),"")</f>
        <v/>
      </c>
      <c r="M55" s="34">
        <f>IFERROR(VLOOKUP(B55,'9. CONS'!A:N,12,FALSE()),"")</f>
        <v/>
      </c>
      <c r="N55" s="34">
        <f>IFERROR(VLOOKUP(B55,'9. CONS'!A:N,13,FALSE()),"")</f>
        <v/>
      </c>
      <c r="O55" s="34">
        <f>IFERROR(VLOOKUP(B55,'9. CONS'!A:N,14,FALSE()),"")</f>
        <v/>
      </c>
    </row>
    <row r="56" ht="15" customHeight="1" s="20">
      <c r="A56" s="37" t="inlineStr">
        <is>
          <t>CONS</t>
        </is>
      </c>
      <c r="B56" s="33" t="inlineStr">
        <is>
          <t>CT-CONS-010</t>
        </is>
      </c>
      <c r="C56" s="33" t="inlineStr">
        <is>
          <t>Web : navigation depuis article</t>
        </is>
      </c>
      <c r="D56" s="33" t="inlineStr">
        <is>
          <t>Manuel</t>
        </is>
      </c>
      <c r="E56" s="33" t="inlineStr">
        <is>
          <t>Basse</t>
        </is>
      </c>
      <c r="F56" s="33" t="inlineStr">
        <is>
          <t>—</t>
        </is>
      </c>
      <c r="G56" s="33" t="inlineStr">
        <is>
          <t>—</t>
        </is>
      </c>
      <c r="H56" s="33" t="inlineStr">
        <is>
          <t>Article → 'Retour aux conseils'</t>
        </is>
      </c>
      <c r="I56" s="33" t="inlineStr">
        <is>
          <t>Retour à la liste</t>
        </is>
      </c>
      <c r="J56" s="33" t="inlineStr">
        <is>
          <t>Manuel</t>
        </is>
      </c>
      <c r="K56" s="33">
        <f>IFERROR(VLOOKUP(B56,'9. CONS'!A:N,10,FALSE()),"")</f>
        <v/>
      </c>
      <c r="L56" s="33">
        <f>IFERROR(VLOOKUP(B56,'9. CONS'!A:N,11,FALSE()),"")</f>
        <v/>
      </c>
      <c r="M56" s="33">
        <f>IFERROR(VLOOKUP(B56,'9. CONS'!A:N,12,FALSE()),"")</f>
        <v/>
      </c>
      <c r="N56" s="33">
        <f>IFERROR(VLOOKUP(B56,'9. CONS'!A:N,13,FALSE()),"")</f>
        <v/>
      </c>
      <c r="O56" s="33">
        <f>IFERROR(VLOOKUP(B56,'9. CONS'!A:N,14,FALSE()),"")</f>
        <v/>
      </c>
    </row>
    <row r="57" ht="15" customHeight="1" s="20">
      <c r="A57" s="38" t="inlineStr">
        <is>
          <t>ADM</t>
        </is>
      </c>
      <c r="B57" s="34" t="inlineStr">
        <is>
          <t>CT-ADM-001</t>
        </is>
      </c>
      <c r="C57" s="34" t="inlineStr">
        <is>
          <t>Accès /admin sans connexion</t>
        </is>
      </c>
      <c r="D57" s="34" t="inlineStr">
        <is>
          <t>E2E</t>
        </is>
      </c>
      <c r="E57" s="34" t="inlineStr">
        <is>
          <t>Bloquant</t>
        </is>
      </c>
      <c r="F57" s="34" t="inlineStr">
        <is>
          <t>Aucune session</t>
        </is>
      </c>
      <c r="G57" s="34" t="inlineStr">
        <is>
          <t>—</t>
        </is>
      </c>
      <c r="H57" s="34" t="inlineStr">
        <is>
          <t>GET /admin</t>
        </is>
      </c>
      <c r="I57" s="34" t="inlineStr">
        <is>
          <t>Redirect 307 vers /login</t>
        </is>
      </c>
      <c r="J57" s="34" t="inlineStr">
        <is>
          <t>✅ Playwright</t>
        </is>
      </c>
      <c r="K57" s="34">
        <f>IFERROR(VLOOKUP(B57,'10. ADM'!A:N,10,FALSE()),"")</f>
        <v/>
      </c>
      <c r="L57" s="34">
        <f>IFERROR(VLOOKUP(B57,'10. ADM'!A:N,11,FALSE()),"")</f>
        <v/>
      </c>
      <c r="M57" s="34">
        <f>IFERROR(VLOOKUP(B57,'10. ADM'!A:N,12,FALSE()),"")</f>
        <v/>
      </c>
      <c r="N57" s="34">
        <f>IFERROR(VLOOKUP(B57,'10. ADM'!A:N,13,FALSE()),"")</f>
        <v/>
      </c>
      <c r="O57" s="34">
        <f>IFERROR(VLOOKUP(B57,'10. ADM'!A:N,14,FALSE()),"")</f>
        <v/>
      </c>
    </row>
    <row r="58" ht="15" customHeight="1" s="20">
      <c r="A58" s="37" t="inlineStr">
        <is>
          <t>ADM</t>
        </is>
      </c>
      <c r="B58" s="33" t="inlineStr">
        <is>
          <t>CT-ADM-002</t>
        </is>
      </c>
      <c r="C58" s="33" t="inlineStr">
        <is>
          <t>Accès /admin en tant que user simple</t>
        </is>
      </c>
      <c r="D58" s="33" t="inlineStr">
        <is>
          <t>Intégration</t>
        </is>
      </c>
      <c r="E58" s="33" t="inlineStr">
        <is>
          <t>Bloquant (sécurité)</t>
        </is>
      </c>
      <c r="F58" s="33" t="inlineStr">
        <is>
          <t>Authentifié role=user</t>
        </is>
      </c>
      <c r="G58" s="33" t="inlineStr">
        <is>
          <t>—</t>
        </is>
      </c>
      <c r="H58" s="33" t="inlineStr">
        <is>
          <t>GET /admin</t>
        </is>
      </c>
      <c r="I58" s="33" t="inlineStr">
        <is>
          <t>Redirect vers /dashboard</t>
        </is>
      </c>
      <c r="J58" s="33" t="inlineStr">
        <is>
          <t>À ajouter</t>
        </is>
      </c>
      <c r="K58" s="33">
        <f>IFERROR(VLOOKUP(B58,'10. ADM'!A:N,10,FALSE()),"")</f>
        <v/>
      </c>
      <c r="L58" s="33">
        <f>IFERROR(VLOOKUP(B58,'10. ADM'!A:N,11,FALSE()),"")</f>
        <v/>
      </c>
      <c r="M58" s="33">
        <f>IFERROR(VLOOKUP(B58,'10. ADM'!A:N,12,FALSE()),"")</f>
        <v/>
      </c>
      <c r="N58" s="33">
        <f>IFERROR(VLOOKUP(B58,'10. ADM'!A:N,13,FALSE()),"")</f>
        <v/>
      </c>
      <c r="O58" s="33">
        <f>IFERROR(VLOOKUP(B58,'10. ADM'!A:N,14,FALSE()),"")</f>
        <v/>
      </c>
    </row>
    <row r="59" ht="20.85" customHeight="1" s="20">
      <c r="A59" s="38" t="inlineStr">
        <is>
          <t>ADM</t>
        </is>
      </c>
      <c r="B59" s="34" t="inlineStr">
        <is>
          <t>CT-ADM-003</t>
        </is>
      </c>
      <c r="C59" s="34" t="inlineStr">
        <is>
          <t>Tableau de bord admin</t>
        </is>
      </c>
      <c r="D59" s="34" t="inlineStr">
        <is>
          <t>E2E</t>
        </is>
      </c>
      <c r="E59" s="34" t="inlineStr">
        <is>
          <t>Haute</t>
        </is>
      </c>
      <c r="F59" s="34" t="inlineStr">
        <is>
          <t>Admin connecté</t>
        </is>
      </c>
      <c r="G59" s="34" t="inlineStr">
        <is>
          <t>—</t>
        </is>
      </c>
      <c r="H59" s="34" t="inlineStr">
        <is>
          <t>Admin login → /admin</t>
        </is>
      </c>
      <c r="I59" s="34" t="inlineStr">
        <is>
          <t>KPI affichés : totalUsers, newUsersThisWeek, totalArticles, bannedUsers</t>
        </is>
      </c>
      <c r="J59" s="34" t="inlineStr">
        <is>
          <t>Manuel + admin.test.ts couvre l'API</t>
        </is>
      </c>
      <c r="K59" s="34">
        <f>IFERROR(VLOOKUP(B59,'10. ADM'!A:N,10,FALSE()),"")</f>
        <v/>
      </c>
      <c r="L59" s="34">
        <f>IFERROR(VLOOKUP(B59,'10. ADM'!A:N,11,FALSE()),"")</f>
        <v/>
      </c>
      <c r="M59" s="34">
        <f>IFERROR(VLOOKUP(B59,'10. ADM'!A:N,12,FALSE()),"")</f>
        <v/>
      </c>
      <c r="N59" s="34">
        <f>IFERROR(VLOOKUP(B59,'10. ADM'!A:N,13,FALSE()),"")</f>
        <v/>
      </c>
      <c r="O59" s="34">
        <f>IFERROR(VLOOKUP(B59,'10. ADM'!A:N,14,FALSE()),"")</f>
        <v/>
      </c>
    </row>
    <row r="60" ht="15" customHeight="1" s="20">
      <c r="A60" s="37" t="inlineStr">
        <is>
          <t>ADM</t>
        </is>
      </c>
      <c r="B60" s="33" t="inlineStr">
        <is>
          <t>CT-ADM-004</t>
        </is>
      </c>
      <c r="C60" s="33" t="inlineStr">
        <is>
          <t>Liste utilisateurs</t>
        </is>
      </c>
      <c r="D60" s="33" t="inlineStr">
        <is>
          <t>Intégration</t>
        </is>
      </c>
      <c r="E60" s="33" t="inlineStr">
        <is>
          <t>Haute</t>
        </is>
      </c>
      <c r="F60" s="33" t="inlineStr">
        <is>
          <t>Admin authentifié</t>
        </is>
      </c>
      <c r="G60" s="33" t="inlineStr">
        <is>
          <t>—</t>
        </is>
      </c>
      <c r="H60" s="33" t="inlineStr">
        <is>
          <t>GET /api/admin/users (admin)</t>
        </is>
      </c>
      <c r="I60" s="33" t="inlineStr">
        <is>
          <t>Liste sans passwordHash</t>
        </is>
      </c>
      <c r="J60" s="33" t="inlineStr">
        <is>
          <t>✅</t>
        </is>
      </c>
      <c r="K60" s="33">
        <f>IFERROR(VLOOKUP(B60,'10. ADM'!A:N,10,FALSE()),"")</f>
        <v/>
      </c>
      <c r="L60" s="33">
        <f>IFERROR(VLOOKUP(B60,'10. ADM'!A:N,11,FALSE()),"")</f>
        <v/>
      </c>
      <c r="M60" s="33">
        <f>IFERROR(VLOOKUP(B60,'10. ADM'!A:N,12,FALSE()),"")</f>
        <v/>
      </c>
      <c r="N60" s="33">
        <f>IFERROR(VLOOKUP(B60,'10. ADM'!A:N,13,FALSE()),"")</f>
        <v/>
      </c>
      <c r="O60" s="33">
        <f>IFERROR(VLOOKUP(B60,'10. ADM'!A:N,14,FALSE()),"")</f>
        <v/>
      </c>
    </row>
    <row r="61" ht="20.85" customHeight="1" s="20">
      <c r="A61" s="38" t="inlineStr">
        <is>
          <t>ADM</t>
        </is>
      </c>
      <c r="B61" s="34" t="inlineStr">
        <is>
          <t>CT-ADM-005</t>
        </is>
      </c>
      <c r="C61" s="34" t="inlineStr">
        <is>
          <t>Bannir un user</t>
        </is>
      </c>
      <c r="D61" s="34" t="inlineStr">
        <is>
          <t>Intégration</t>
        </is>
      </c>
      <c r="E61" s="34" t="inlineStr">
        <is>
          <t>Haute</t>
        </is>
      </c>
      <c r="F61" s="34" t="inlineStr">
        <is>
          <t>User cible existant</t>
        </is>
      </c>
      <c r="G61" s="34" t="inlineStr">
        <is>
          <t>{action:'toggleBan'}</t>
        </is>
      </c>
      <c r="H61" s="34" t="inlineStr">
        <is>
          <t>PATCH /api/admin/users/[id] body {action:'toggleBan'}</t>
        </is>
      </c>
      <c r="I61" s="34" t="inlineStr">
        <is>
          <t>HTTP 200 + isBanned=true</t>
        </is>
      </c>
      <c r="J61" s="34" t="inlineStr">
        <is>
          <t>✅</t>
        </is>
      </c>
      <c r="K61" s="34">
        <f>IFERROR(VLOOKUP(B61,'10. ADM'!A:N,10,FALSE()),"")</f>
        <v/>
      </c>
      <c r="L61" s="34">
        <f>IFERROR(VLOOKUP(B61,'10. ADM'!A:N,11,FALSE()),"")</f>
        <v/>
      </c>
      <c r="M61" s="34">
        <f>IFERROR(VLOOKUP(B61,'10. ADM'!A:N,12,FALSE()),"")</f>
        <v/>
      </c>
      <c r="N61" s="34">
        <f>IFERROR(VLOOKUP(B61,'10. ADM'!A:N,13,FALSE()),"")</f>
        <v/>
      </c>
      <c r="O61" s="34">
        <f>IFERROR(VLOOKUP(B61,'10. ADM'!A:N,14,FALSE()),"")</f>
        <v/>
      </c>
    </row>
    <row r="62" ht="15" customHeight="1" s="20">
      <c r="A62" s="37" t="inlineStr">
        <is>
          <t>ADM</t>
        </is>
      </c>
      <c r="B62" s="33" t="inlineStr">
        <is>
          <t>CT-ADM-006</t>
        </is>
      </c>
      <c r="C62" s="33" t="inlineStr">
        <is>
          <t>Le user banni ne peut plus se connecter</t>
        </is>
      </c>
      <c r="D62" s="33" t="inlineStr">
        <is>
          <t>Intégration</t>
        </is>
      </c>
      <c r="E62" s="33" t="inlineStr">
        <is>
          <t>Bloquant</t>
        </is>
      </c>
      <c r="F62" s="33" t="inlineStr">
        <is>
          <t>Suite à CT-ADM-005</t>
        </is>
      </c>
      <c r="G62" s="33" t="inlineStr">
        <is>
          <t>—</t>
        </is>
      </c>
      <c r="H62" s="33" t="inlineStr">
        <is>
          <t>POST /api/auth/login avec ce user</t>
        </is>
      </c>
      <c r="I62" s="33" t="inlineStr">
        <is>
          <t>HTTP 403</t>
        </is>
      </c>
      <c r="J62" s="33" t="inlineStr">
        <is>
          <t>✅ (couvert par CT-AUTH-007)</t>
        </is>
      </c>
      <c r="K62" s="33">
        <f>IFERROR(VLOOKUP(B62,'10. ADM'!A:N,10,FALSE()),"")</f>
        <v/>
      </c>
      <c r="L62" s="33">
        <f>IFERROR(VLOOKUP(B62,'10. ADM'!A:N,11,FALSE()),"")</f>
        <v/>
      </c>
      <c r="M62" s="33">
        <f>IFERROR(VLOOKUP(B62,'10. ADM'!A:N,12,FALSE()),"")</f>
        <v/>
      </c>
      <c r="N62" s="33">
        <f>IFERROR(VLOOKUP(B62,'10. ADM'!A:N,13,FALSE()),"")</f>
        <v/>
      </c>
      <c r="O62" s="33">
        <f>IFERROR(VLOOKUP(B62,'10. ADM'!A:N,14,FALSE()),"")</f>
        <v/>
      </c>
    </row>
    <row r="63" ht="15" customHeight="1" s="20">
      <c r="A63" s="38" t="inlineStr">
        <is>
          <t>ADM</t>
        </is>
      </c>
      <c r="B63" s="34" t="inlineStr">
        <is>
          <t>CT-ADM-007</t>
        </is>
      </c>
      <c r="C63" s="34" t="inlineStr">
        <is>
          <t>Refus de l'auto-modification</t>
        </is>
      </c>
      <c r="D63" s="34" t="inlineStr">
        <is>
          <t>Intégration</t>
        </is>
      </c>
      <c r="E63" s="34" t="inlineStr">
        <is>
          <t>Haute (sécurité)</t>
        </is>
      </c>
      <c r="F63" s="34" t="inlineStr">
        <is>
          <t>Admin connecté</t>
        </is>
      </c>
      <c r="G63" s="34" t="inlineStr">
        <is>
          <t>—</t>
        </is>
      </c>
      <c r="H63" s="34" t="inlineStr">
        <is>
          <t>PATCH /api/admin/users/[idAdminConnecté]</t>
        </is>
      </c>
      <c r="I63" s="34" t="inlineStr">
        <is>
          <t>HTTP 400 + body.error « propre compte »</t>
        </is>
      </c>
      <c r="J63" s="34" t="inlineStr">
        <is>
          <t>✅</t>
        </is>
      </c>
      <c r="K63" s="34">
        <f>IFERROR(VLOOKUP(B63,'10. ADM'!A:N,10,FALSE()),"")</f>
        <v/>
      </c>
      <c r="L63" s="34">
        <f>IFERROR(VLOOKUP(B63,'10. ADM'!A:N,11,FALSE()),"")</f>
        <v/>
      </c>
      <c r="M63" s="34">
        <f>IFERROR(VLOOKUP(B63,'10. ADM'!A:N,12,FALSE()),"")</f>
        <v/>
      </c>
      <c r="N63" s="34">
        <f>IFERROR(VLOOKUP(B63,'10. ADM'!A:N,13,FALSE()),"")</f>
        <v/>
      </c>
      <c r="O63" s="34">
        <f>IFERROR(VLOOKUP(B63,'10. ADM'!A:N,14,FALSE()),"")</f>
        <v/>
      </c>
    </row>
    <row r="64" ht="15" customHeight="1" s="20">
      <c r="A64" s="37" t="inlineStr">
        <is>
          <t>ADM</t>
        </is>
      </c>
      <c r="B64" s="33" t="inlineStr">
        <is>
          <t>CT-ADM-008</t>
        </is>
      </c>
      <c r="C64" s="33" t="inlineStr">
        <is>
          <t>Refus de bannir un autre admin</t>
        </is>
      </c>
      <c r="D64" s="33" t="inlineStr">
        <is>
          <t>Intégration</t>
        </is>
      </c>
      <c r="E64" s="33" t="inlineStr">
        <is>
          <t>Haute</t>
        </is>
      </c>
      <c r="F64" s="33" t="inlineStr">
        <is>
          <t>2 admins en base</t>
        </is>
      </c>
      <c r="G64" s="33" t="inlineStr">
        <is>
          <t>action=toggleBan</t>
        </is>
      </c>
      <c r="H64" s="33" t="inlineStr">
        <is>
          <t>PATCH avec target=autre admin, action=toggleBan</t>
        </is>
      </c>
      <c r="I64" s="33" t="inlineStr">
        <is>
          <t>HTTP 400</t>
        </is>
      </c>
      <c r="J64" s="33" t="inlineStr">
        <is>
          <t>✅</t>
        </is>
      </c>
      <c r="K64" s="33">
        <f>IFERROR(VLOOKUP(B64,'10. ADM'!A:N,10,FALSE()),"")</f>
        <v/>
      </c>
      <c r="L64" s="33">
        <f>IFERROR(VLOOKUP(B64,'10. ADM'!A:N,11,FALSE()),"")</f>
        <v/>
      </c>
      <c r="M64" s="33">
        <f>IFERROR(VLOOKUP(B64,'10. ADM'!A:N,12,FALSE()),"")</f>
        <v/>
      </c>
      <c r="N64" s="33">
        <f>IFERROR(VLOOKUP(B64,'10. ADM'!A:N,13,FALSE()),"")</f>
        <v/>
      </c>
      <c r="O64" s="33">
        <f>IFERROR(VLOOKUP(B64,'10. ADM'!A:N,14,FALSE()),"")</f>
        <v/>
      </c>
    </row>
    <row r="65" ht="15" customHeight="1" s="20">
      <c r="A65" s="38" t="inlineStr">
        <is>
          <t>ADM</t>
        </is>
      </c>
      <c r="B65" s="34" t="inlineStr">
        <is>
          <t>CT-ADM-009</t>
        </is>
      </c>
      <c r="C65" s="34" t="inlineStr">
        <is>
          <t>Promotion d'un user en admin</t>
        </is>
      </c>
      <c r="D65" s="34" t="inlineStr">
        <is>
          <t>Intégration</t>
        </is>
      </c>
      <c r="E65" s="34" t="inlineStr">
        <is>
          <t>Haute</t>
        </is>
      </c>
      <c r="F65" s="34" t="inlineStr">
        <is>
          <t>User existant</t>
        </is>
      </c>
      <c r="G65" s="34" t="inlineStr">
        <is>
          <t>action=toggleRole</t>
        </is>
      </c>
      <c r="H65" s="34" t="inlineStr">
        <is>
          <t>PATCH avec action=toggleRole</t>
        </is>
      </c>
      <c r="I65" s="34" t="inlineStr">
        <is>
          <t>HTTP 200 + role='admin'</t>
        </is>
      </c>
      <c r="J65" s="34" t="inlineStr">
        <is>
          <t>À ajouter</t>
        </is>
      </c>
      <c r="K65" s="34">
        <f>IFERROR(VLOOKUP(B65,'10. ADM'!A:N,10,FALSE()),"")</f>
        <v/>
      </c>
      <c r="L65" s="34">
        <f>IFERROR(VLOOKUP(B65,'10. ADM'!A:N,11,FALSE()),"")</f>
        <v/>
      </c>
      <c r="M65" s="34">
        <f>IFERROR(VLOOKUP(B65,'10. ADM'!A:N,12,FALSE()),"")</f>
        <v/>
      </c>
      <c r="N65" s="34">
        <f>IFERROR(VLOOKUP(B65,'10. ADM'!A:N,13,FALSE()),"")</f>
        <v/>
      </c>
      <c r="O65" s="34">
        <f>IFERROR(VLOOKUP(B65,'10. ADM'!A:N,14,FALSE()),"")</f>
        <v/>
      </c>
    </row>
    <row r="66" ht="15" customHeight="1" s="20">
      <c r="A66" s="37" t="inlineStr">
        <is>
          <t>ADM</t>
        </is>
      </c>
      <c r="B66" s="33" t="inlineStr">
        <is>
          <t>CT-ADM-010</t>
        </is>
      </c>
      <c r="C66" s="33" t="inlineStr">
        <is>
          <t>Suppression d'un user</t>
        </is>
      </c>
      <c r="D66" s="33" t="inlineStr">
        <is>
          <t>Intégration</t>
        </is>
      </c>
      <c r="E66" s="33" t="inlineStr">
        <is>
          <t>Haute</t>
        </is>
      </c>
      <c r="F66" s="33" t="inlineStr">
        <is>
          <t>User cible</t>
        </is>
      </c>
      <c r="G66" s="33" t="inlineStr">
        <is>
          <t>—</t>
        </is>
      </c>
      <c r="H66" s="33" t="inlineStr">
        <is>
          <t>DELETE /api/admin/users/[id] (target = user)</t>
        </is>
      </c>
      <c r="I66" s="33" t="inlineStr">
        <is>
          <t>HTTP 200 + user supprimé + cascade sur entries</t>
        </is>
      </c>
      <c r="J66" s="33" t="inlineStr">
        <is>
          <t>À ajouter</t>
        </is>
      </c>
      <c r="K66" s="33">
        <f>IFERROR(VLOOKUP(B66,'10. ADM'!A:N,10,FALSE()),"")</f>
        <v/>
      </c>
      <c r="L66" s="33">
        <f>IFERROR(VLOOKUP(B66,'10. ADM'!A:N,11,FALSE()),"")</f>
        <v/>
      </c>
      <c r="M66" s="33">
        <f>IFERROR(VLOOKUP(B66,'10. ADM'!A:N,12,FALSE()),"")</f>
        <v/>
      </c>
      <c r="N66" s="33">
        <f>IFERROR(VLOOKUP(B66,'10. ADM'!A:N,13,FALSE()),"")</f>
        <v/>
      </c>
      <c r="O66" s="33">
        <f>IFERROR(VLOOKUP(B66,'10. ADM'!A:N,14,FALSE()),"")</f>
        <v/>
      </c>
    </row>
    <row r="67" ht="15" customHeight="1" s="20">
      <c r="A67" s="38" t="inlineStr">
        <is>
          <t>ADM</t>
        </is>
      </c>
      <c r="B67" s="34" t="inlineStr">
        <is>
          <t>CT-ADM-011</t>
        </is>
      </c>
      <c r="C67" s="34" t="inlineStr">
        <is>
          <t>Refus de suppression d'un admin</t>
        </is>
      </c>
      <c r="D67" s="34" t="inlineStr">
        <is>
          <t>Intégration</t>
        </is>
      </c>
      <c r="E67" s="34" t="inlineStr">
        <is>
          <t>Haute</t>
        </is>
      </c>
      <c r="F67" s="34" t="inlineStr">
        <is>
          <t>Autre admin existant</t>
        </is>
      </c>
      <c r="G67" s="34" t="inlineStr">
        <is>
          <t>—</t>
        </is>
      </c>
      <c r="H67" s="34" t="inlineStr">
        <is>
          <t>DELETE sur autre admin</t>
        </is>
      </c>
      <c r="I67" s="34" t="inlineStr">
        <is>
          <t>HTTP 400</t>
        </is>
      </c>
      <c r="J67" s="34" t="inlineStr">
        <is>
          <t>✅</t>
        </is>
      </c>
      <c r="K67" s="34">
        <f>IFERROR(VLOOKUP(B67,'10. ADM'!A:N,10,FALSE()),"")</f>
        <v/>
      </c>
      <c r="L67" s="34">
        <f>IFERROR(VLOOKUP(B67,'10. ADM'!A:N,11,FALSE()),"")</f>
        <v/>
      </c>
      <c r="M67" s="34">
        <f>IFERROR(VLOOKUP(B67,'10. ADM'!A:N,12,FALSE()),"")</f>
        <v/>
      </c>
      <c r="N67" s="34">
        <f>IFERROR(VLOOKUP(B67,'10. ADM'!A:N,13,FALSE()),"")</f>
        <v/>
      </c>
      <c r="O67" s="34">
        <f>IFERROR(VLOOKUP(B67,'10. ADM'!A:N,14,FALSE()),"")</f>
        <v/>
      </c>
    </row>
    <row r="68" ht="30.55" customHeight="1" s="20">
      <c r="A68" s="37" t="inlineStr">
        <is>
          <t>ADM</t>
        </is>
      </c>
      <c r="B68" s="33" t="inlineStr">
        <is>
          <t>CT-ADM-012</t>
        </is>
      </c>
      <c r="C68" s="33" t="inlineStr">
        <is>
          <t>CRUD article admin</t>
        </is>
      </c>
      <c r="D68" s="33" t="inlineStr">
        <is>
          <t>Intégration</t>
        </is>
      </c>
      <c r="E68" s="33" t="inlineStr">
        <is>
          <t>Haute</t>
        </is>
      </c>
      <c r="F68" s="33" t="inlineStr">
        <is>
          <t>Admin authentifié</t>
        </is>
      </c>
      <c r="G68" s="33" t="inlineStr">
        <is>
          <t>Article complet</t>
        </is>
      </c>
      <c r="H68" s="33" t="inlineStr">
        <is>
          <t>• POST /api/articles (admin)
• PUT
• DELETE</t>
        </is>
      </c>
      <c r="I68" s="33" t="inlineStr">
        <is>
          <t>Cycle complet OK + slug unique enforced (409 sinon)</t>
        </is>
      </c>
      <c r="J68" s="33" t="inlineStr">
        <is>
          <t>Partiel</t>
        </is>
      </c>
      <c r="K68" s="33">
        <f>IFERROR(VLOOKUP(B68,'10. ADM'!A:N,10,FALSE()),"")</f>
        <v/>
      </c>
      <c r="L68" s="33">
        <f>IFERROR(VLOOKUP(B68,'10. ADM'!A:N,11,FALSE()),"")</f>
        <v/>
      </c>
      <c r="M68" s="33">
        <f>IFERROR(VLOOKUP(B68,'10. ADM'!A:N,12,FALSE()),"")</f>
        <v/>
      </c>
      <c r="N68" s="33">
        <f>IFERROR(VLOOKUP(B68,'10. ADM'!A:N,13,FALSE()),"")</f>
        <v/>
      </c>
      <c r="O68" s="33">
        <f>IFERROR(VLOOKUP(B68,'10. ADM'!A:N,14,FALSE()),"")</f>
        <v/>
      </c>
    </row>
    <row r="69" ht="30.55" customHeight="1" s="20">
      <c r="A69" s="38" t="inlineStr">
        <is>
          <t>ADM</t>
        </is>
      </c>
      <c r="B69" s="34" t="inlineStr">
        <is>
          <t>CT-ADM-013</t>
        </is>
      </c>
      <c r="C69" s="34" t="inlineStr">
        <is>
          <t>Notes user invisibles côté admin</t>
        </is>
      </c>
      <c r="D69" s="34" t="inlineStr">
        <is>
          <t>Sécurité</t>
        </is>
      </c>
      <c r="E69" s="34" t="inlineStr">
        <is>
          <t>Bloquant (RGPD)</t>
        </is>
      </c>
      <c r="F69" s="34" t="inlineStr">
        <is>
          <t>User a une note</t>
        </is>
      </c>
      <c r="G69" s="34" t="inlineStr">
        <is>
          <t>—</t>
        </is>
      </c>
      <c r="H69" s="34" t="inlineStr">
        <is>
          <t>• User crée entrée avec note 'secret'
• Admin tente d'accéder à cette entrée par n'importe quel moyen</t>
        </is>
      </c>
      <c r="I69" s="34" t="inlineStr">
        <is>
          <t>• Aucune route API admin ne retourne noteEncrypted ni la note en clair
• La page /admin/users affiche un avertissement</t>
        </is>
      </c>
      <c r="J69" s="34" t="inlineStr">
        <is>
          <t>Validé par absence d'endpoint + CT-JRN-009/010</t>
        </is>
      </c>
      <c r="K69" s="34">
        <f>IFERROR(VLOOKUP(B69,'10. ADM'!A:N,10,FALSE()),"")</f>
        <v/>
      </c>
      <c r="L69" s="34">
        <f>IFERROR(VLOOKUP(B69,'10. ADM'!A:N,11,FALSE()),"")</f>
        <v/>
      </c>
      <c r="M69" s="34">
        <f>IFERROR(VLOOKUP(B69,'10. ADM'!A:N,12,FALSE()),"")</f>
        <v/>
      </c>
      <c r="N69" s="34">
        <f>IFERROR(VLOOKUP(B69,'10. ADM'!A:N,13,FALSE()),"")</f>
        <v/>
      </c>
      <c r="O69" s="34">
        <f>IFERROR(VLOOKUP(B69,'10. ADM'!A:N,14,FALSE()),"")</f>
        <v/>
      </c>
    </row>
    <row r="70" ht="15" customHeight="1" s="20">
      <c r="A70" s="37" t="inlineStr">
        <is>
          <t>ADM</t>
        </is>
      </c>
      <c r="B70" s="33" t="inlineStr">
        <is>
          <t>CT-ADM-014</t>
        </is>
      </c>
      <c r="C70" s="33" t="inlineStr">
        <is>
          <t>Création catégorie d'émotion</t>
        </is>
      </c>
      <c r="D70" s="33" t="inlineStr">
        <is>
          <t>Intégration</t>
        </is>
      </c>
      <c r="E70" s="33" t="inlineStr">
        <is>
          <t>Moyenne</t>
        </is>
      </c>
      <c r="F70" s="33" t="inlineStr">
        <is>
          <t>Admin connecté</t>
        </is>
      </c>
      <c r="G70" s="33" t="inlineStr">
        <is>
          <t>Body avec label, color, icon</t>
        </is>
      </c>
      <c r="H70" s="33" t="inlineStr">
        <is>
          <t>POST /api/emotions/categories (admin)</t>
        </is>
      </c>
      <c r="I70" s="33" t="inlineStr">
        <is>
          <t>HTTP 200 + ligne créée</t>
        </is>
      </c>
      <c r="J70" s="33" t="inlineStr">
        <is>
          <t>Manuel</t>
        </is>
      </c>
      <c r="K70" s="33">
        <f>IFERROR(VLOOKUP(B70,'10. ADM'!A:N,10,FALSE()),"")</f>
        <v/>
      </c>
      <c r="L70" s="33">
        <f>IFERROR(VLOOKUP(B70,'10. ADM'!A:N,11,FALSE()),"")</f>
        <v/>
      </c>
      <c r="M70" s="33">
        <f>IFERROR(VLOOKUP(B70,'10. ADM'!A:N,12,FALSE()),"")</f>
        <v/>
      </c>
      <c r="N70" s="33">
        <f>IFERROR(VLOOKUP(B70,'10. ADM'!A:N,13,FALSE()),"")</f>
        <v/>
      </c>
      <c r="O70" s="33">
        <f>IFERROR(VLOOKUP(B70,'10. ADM'!A:N,14,FALSE()),"")</f>
        <v/>
      </c>
    </row>
    <row r="71" ht="15" customHeight="1" s="20">
      <c r="A71" s="38" t="inlineStr">
        <is>
          <t>ADM</t>
        </is>
      </c>
      <c r="B71" s="34" t="inlineStr">
        <is>
          <t>CT-ADM-015</t>
        </is>
      </c>
      <c r="C71" s="34" t="inlineStr">
        <is>
          <t>Modification catégorie</t>
        </is>
      </c>
      <c r="D71" s="34" t="inlineStr">
        <is>
          <t>Intégration</t>
        </is>
      </c>
      <c r="E71" s="34" t="inlineStr">
        <is>
          <t>Moyenne</t>
        </is>
      </c>
      <c r="F71" s="34" t="inlineStr">
        <is>
          <t>Catégorie existante</t>
        </is>
      </c>
      <c r="G71" s="34" t="inlineStr">
        <is>
          <t>—</t>
        </is>
      </c>
      <c r="H71" s="34" t="inlineStr">
        <is>
          <t>PUT /api/emotions/categories/[id]</t>
        </is>
      </c>
      <c r="I71" s="34" t="inlineStr">
        <is>
          <t>HTTP 200 + catégorie modifiée</t>
        </is>
      </c>
      <c r="J71" s="34" t="inlineStr">
        <is>
          <t>Manuel</t>
        </is>
      </c>
      <c r="K71" s="34">
        <f>IFERROR(VLOOKUP(B71,'10. ADM'!A:N,10,FALSE()),"")</f>
        <v/>
      </c>
      <c r="L71" s="34">
        <f>IFERROR(VLOOKUP(B71,'10. ADM'!A:N,11,FALSE()),"")</f>
        <v/>
      </c>
      <c r="M71" s="34">
        <f>IFERROR(VLOOKUP(B71,'10. ADM'!A:N,12,FALSE()),"")</f>
        <v/>
      </c>
      <c r="N71" s="34">
        <f>IFERROR(VLOOKUP(B71,'10. ADM'!A:N,13,FALSE()),"")</f>
        <v/>
      </c>
      <c r="O71" s="34">
        <f>IFERROR(VLOOKUP(B71,'10. ADM'!A:N,14,FALSE()),"")</f>
        <v/>
      </c>
    </row>
    <row r="72" ht="15" customHeight="1" s="20">
      <c r="A72" s="37" t="inlineStr">
        <is>
          <t>ADM</t>
        </is>
      </c>
      <c r="B72" s="33" t="inlineStr">
        <is>
          <t>CT-ADM-016</t>
        </is>
      </c>
      <c r="C72" s="33" t="inlineStr">
        <is>
          <t>Suppression catégorie cascade émotions</t>
        </is>
      </c>
      <c r="D72" s="33" t="inlineStr">
        <is>
          <t>Intégration</t>
        </is>
      </c>
      <c r="E72" s="33" t="inlineStr">
        <is>
          <t>Moyenne</t>
        </is>
      </c>
      <c r="F72" s="33" t="inlineStr">
        <is>
          <t>Catégorie avec émotions liées</t>
        </is>
      </c>
      <c r="G72" s="33" t="inlineStr">
        <is>
          <t>—</t>
        </is>
      </c>
      <c r="H72" s="33" t="inlineStr">
        <is>
          <t>DELETE /api/emotions/categories/[id]</t>
        </is>
      </c>
      <c r="I72" s="33" t="inlineStr">
        <is>
          <t>Cascade ON DELETE supprime les émotions liées</t>
        </is>
      </c>
      <c r="J72" s="33" t="inlineStr">
        <is>
          <t>Manuel</t>
        </is>
      </c>
      <c r="K72" s="33">
        <f>IFERROR(VLOOKUP(B72,'10. ADM'!A:N,10,FALSE()),"")</f>
        <v/>
      </c>
      <c r="L72" s="33">
        <f>IFERROR(VLOOKUP(B72,'10. ADM'!A:N,11,FALSE()),"")</f>
        <v/>
      </c>
      <c r="M72" s="33">
        <f>IFERROR(VLOOKUP(B72,'10. ADM'!A:N,12,FALSE()),"")</f>
        <v/>
      </c>
      <c r="N72" s="33">
        <f>IFERROR(VLOOKUP(B72,'10. ADM'!A:N,13,FALSE()),"")</f>
        <v/>
      </c>
      <c r="O72" s="33">
        <f>IFERROR(VLOOKUP(B72,'10. ADM'!A:N,14,FALSE()),"")</f>
        <v/>
      </c>
    </row>
    <row r="73" ht="15" customHeight="1" s="20">
      <c r="A73" s="38" t="inlineStr">
        <is>
          <t>ADM</t>
        </is>
      </c>
      <c r="B73" s="34" t="inlineStr">
        <is>
          <t>CT-ADM-017</t>
        </is>
      </c>
      <c r="C73" s="34" t="inlineStr">
        <is>
          <t>Validation regex couleur hexa</t>
        </is>
      </c>
      <c r="D73" s="34" t="inlineStr">
        <is>
          <t>Intégration</t>
        </is>
      </c>
      <c r="E73" s="34" t="inlineStr">
        <is>
          <t>Basse</t>
        </is>
      </c>
      <c r="F73" s="34" t="inlineStr">
        <is>
          <t>—</t>
        </is>
      </c>
      <c r="G73" s="34" t="inlineStr">
        <is>
          <t>colorHex='pas-une-couleur'</t>
        </is>
      </c>
      <c r="H73" s="34" t="inlineStr">
        <is>
          <t>POST/PUT catégorie avec couleur invalide</t>
        </is>
      </c>
      <c r="I73" s="34" t="inlineStr">
        <is>
          <t>HTTP 400</t>
        </is>
      </c>
      <c r="J73" s="34" t="inlineStr">
        <is>
          <t>À ajouter</t>
        </is>
      </c>
      <c r="K73" s="34">
        <f>IFERROR(VLOOKUP(B73,'10. ADM'!A:N,10,FALSE()),"")</f>
        <v/>
      </c>
      <c r="L73" s="34">
        <f>IFERROR(VLOOKUP(B73,'10. ADM'!A:N,11,FALSE()),"")</f>
        <v/>
      </c>
      <c r="M73" s="34">
        <f>IFERROR(VLOOKUP(B73,'10. ADM'!A:N,12,FALSE()),"")</f>
        <v/>
      </c>
      <c r="N73" s="34">
        <f>IFERROR(VLOOKUP(B73,'10. ADM'!A:N,13,FALSE()),"")</f>
        <v/>
      </c>
      <c r="O73" s="34">
        <f>IFERROR(VLOOKUP(B73,'10. ADM'!A:N,14,FALSE()),"")</f>
        <v/>
      </c>
    </row>
    <row r="74" ht="15" customHeight="1" s="20">
      <c r="A74" s="37" t="inlineStr">
        <is>
          <t>ADM</t>
        </is>
      </c>
      <c r="B74" s="33" t="inlineStr">
        <is>
          <t>CT-ADM-018</t>
        </is>
      </c>
      <c r="C74" s="33" t="inlineStr">
        <is>
          <t>Validation slug article unique</t>
        </is>
      </c>
      <c r="D74" s="33" t="inlineStr">
        <is>
          <t>Intégration</t>
        </is>
      </c>
      <c r="E74" s="33" t="inlineStr">
        <is>
          <t>Haute</t>
        </is>
      </c>
      <c r="F74" s="33" t="inlineStr">
        <is>
          <t>Article avec slug='dup'</t>
        </is>
      </c>
      <c r="G74" s="33" t="inlineStr">
        <is>
          <t>—</t>
        </is>
      </c>
      <c r="H74" s="33" t="inlineStr">
        <is>
          <t>Créer 2 articles avec le même slug</t>
        </is>
      </c>
      <c r="I74" s="33" t="inlineStr">
        <is>
          <t>2e tentative → HTTP 409</t>
        </is>
      </c>
      <c r="J74" s="33" t="inlineStr">
        <is>
          <t>À ajouter</t>
        </is>
      </c>
      <c r="K74" s="33">
        <f>IFERROR(VLOOKUP(B74,'10. ADM'!A:N,10,FALSE()),"")</f>
        <v/>
      </c>
      <c r="L74" s="33">
        <f>IFERROR(VLOOKUP(B74,'10. ADM'!A:N,11,FALSE()),"")</f>
        <v/>
      </c>
      <c r="M74" s="33">
        <f>IFERROR(VLOOKUP(B74,'10. ADM'!A:N,12,FALSE()),"")</f>
        <v/>
      </c>
      <c r="N74" s="33">
        <f>IFERROR(VLOOKUP(B74,'10. ADM'!A:N,13,FALSE()),"")</f>
        <v/>
      </c>
      <c r="O74" s="33">
        <f>IFERROR(VLOOKUP(B74,'10. ADM'!A:N,14,FALSE()),"")</f>
        <v/>
      </c>
    </row>
    <row r="75" ht="20.85" customHeight="1" s="20">
      <c r="A75" s="38" t="inlineStr">
        <is>
          <t>MOB</t>
        </is>
      </c>
      <c r="B75" s="34" t="inlineStr">
        <is>
          <t>CT-MOB-001</t>
        </is>
      </c>
      <c r="C75" s="34" t="inlineStr">
        <is>
          <t>Persistance de session après redémarrage</t>
        </is>
      </c>
      <c r="D75" s="34" t="inlineStr">
        <is>
          <t>Manuel</t>
        </is>
      </c>
      <c r="E75" s="34" t="inlineStr">
        <is>
          <t>Bloquant</t>
        </is>
      </c>
      <c r="F75" s="34" t="inlineStr">
        <is>
          <t>App installée</t>
        </is>
      </c>
      <c r="G75" s="34" t="inlineStr">
        <is>
          <t>—</t>
        </is>
      </c>
      <c r="H75" s="34" t="inlineStr">
        <is>
          <t>Login → tuer l'app → relancer</t>
        </is>
      </c>
      <c r="I75" s="34" t="inlineStr">
        <is>
          <t>Reste connecté (token relu depuis SecureStore, /api/auth/me répond)</t>
        </is>
      </c>
      <c r="J75" s="34" t="inlineStr">
        <is>
          <t>Partiel via Jest (mock SecureStore)</t>
        </is>
      </c>
      <c r="K75" s="34">
        <f>IFERROR(VLOOKUP(B75,'11. MOB'!A:N,10,FALSE()),"")</f>
        <v/>
      </c>
      <c r="L75" s="34">
        <f>IFERROR(VLOOKUP(B75,'11. MOB'!A:N,11,FALSE()),"")</f>
        <v/>
      </c>
      <c r="M75" s="34">
        <f>IFERROR(VLOOKUP(B75,'11. MOB'!A:N,12,FALSE()),"")</f>
        <v/>
      </c>
      <c r="N75" s="34">
        <f>IFERROR(VLOOKUP(B75,'11. MOB'!A:N,13,FALSE()),"")</f>
        <v/>
      </c>
      <c r="O75" s="34">
        <f>IFERROR(VLOOKUP(B75,'11. MOB'!A:N,14,FALSE()),"")</f>
        <v/>
      </c>
    </row>
    <row r="76" ht="15" customHeight="1" s="20">
      <c r="A76" s="37" t="inlineStr">
        <is>
          <t>MOB</t>
        </is>
      </c>
      <c r="B76" s="33" t="inlineStr">
        <is>
          <t>CT-MOB-002</t>
        </is>
      </c>
      <c r="C76" s="33" t="inlineStr">
        <is>
          <t>Token effacé après logout</t>
        </is>
      </c>
      <c r="D76" s="33" t="inlineStr">
        <is>
          <t>Unitaire</t>
        </is>
      </c>
      <c r="E76" s="33" t="inlineStr">
        <is>
          <t>Bloquant (sécurité)</t>
        </is>
      </c>
      <c r="F76" s="33" t="inlineStr">
        <is>
          <t>App authentifiée</t>
        </is>
      </c>
      <c r="G76" s="33" t="inlineStr">
        <is>
          <t>—</t>
        </is>
      </c>
      <c r="H76" s="33" t="inlineStr">
        <is>
          <t>Login → Logout → relancer</t>
        </is>
      </c>
      <c r="I76" s="33" t="inlineStr">
        <is>
          <t>Affiche écran login (token absent)</t>
        </is>
      </c>
      <c r="J76" s="33" t="inlineStr">
        <is>
          <t>✅ Jest AuthContext.test.tsx</t>
        </is>
      </c>
      <c r="K76" s="33">
        <f>IFERROR(VLOOKUP(B76,'11. MOB'!A:N,10,FALSE()),"")</f>
        <v/>
      </c>
      <c r="L76" s="33">
        <f>IFERROR(VLOOKUP(B76,'11. MOB'!A:N,11,FALSE()),"")</f>
        <v/>
      </c>
      <c r="M76" s="33">
        <f>IFERROR(VLOOKUP(B76,'11. MOB'!A:N,12,FALSE()),"")</f>
        <v/>
      </c>
      <c r="N76" s="33">
        <f>IFERROR(VLOOKUP(B76,'11. MOB'!A:N,13,FALSE()),"")</f>
        <v/>
      </c>
      <c r="O76" s="33">
        <f>IFERROR(VLOOKUP(B76,'11. MOB'!A:N,14,FALSE()),"")</f>
        <v/>
      </c>
    </row>
    <row r="77" ht="20.85" customHeight="1" s="20">
      <c r="A77" s="38" t="inlineStr">
        <is>
          <t>MOB</t>
        </is>
      </c>
      <c r="B77" s="34" t="inlineStr">
        <is>
          <t>CT-MOB-003</t>
        </is>
      </c>
      <c r="C77" s="34" t="inlineStr">
        <is>
          <t>Bearer token dans toutes les requêtes authentifiées</t>
        </is>
      </c>
      <c r="D77" s="34" t="inlineStr">
        <is>
          <t>Unitaire</t>
        </is>
      </c>
      <c r="E77" s="34" t="inlineStr">
        <is>
          <t>Bloquant</t>
        </is>
      </c>
      <c r="F77" s="34" t="inlineStr">
        <is>
          <t>App authentifiée</t>
        </is>
      </c>
      <c r="G77" s="34" t="inlineStr">
        <is>
          <t>—</t>
        </is>
      </c>
      <c r="H77" s="34" t="inlineStr">
        <is>
          <t>Inspecter une requête authentifiée (DevTools)</t>
        </is>
      </c>
      <c r="I77" s="34" t="inlineStr">
        <is>
          <t>Header Authorization: Bearer &lt;jwt&gt; présent</t>
        </is>
      </c>
      <c r="J77" s="34" t="inlineStr">
        <is>
          <t>✅ Jest api.test.ts</t>
        </is>
      </c>
      <c r="K77" s="34">
        <f>IFERROR(VLOOKUP(B77,'11. MOB'!A:N,10,FALSE()),"")</f>
        <v/>
      </c>
      <c r="L77" s="34">
        <f>IFERROR(VLOOKUP(B77,'11. MOB'!A:N,11,FALSE()),"")</f>
        <v/>
      </c>
      <c r="M77" s="34">
        <f>IFERROR(VLOOKUP(B77,'11. MOB'!A:N,12,FALSE()),"")</f>
        <v/>
      </c>
      <c r="N77" s="34">
        <f>IFERROR(VLOOKUP(B77,'11. MOB'!A:N,13,FALSE()),"")</f>
        <v/>
      </c>
      <c r="O77" s="34">
        <f>IFERROR(VLOOKUP(B77,'11. MOB'!A:N,14,FALSE()),"")</f>
        <v/>
      </c>
    </row>
    <row r="78" ht="20.85" customHeight="1" s="20">
      <c r="A78" s="37" t="inlineStr">
        <is>
          <t>MOB</t>
        </is>
      </c>
      <c r="B78" s="33" t="inlineStr">
        <is>
          <t>CT-MOB-004</t>
        </is>
      </c>
      <c r="C78" s="33" t="inlineStr">
        <is>
          <t>Pas de Bearer pour les endpoints publics</t>
        </is>
      </c>
      <c r="D78" s="33" t="inlineStr">
        <is>
          <t>Unitaire</t>
        </is>
      </c>
      <c r="E78" s="33" t="inlineStr">
        <is>
          <t>Moyenne</t>
        </is>
      </c>
      <c r="F78" s="33" t="inlineStr">
        <is>
          <t>—</t>
        </is>
      </c>
      <c r="G78" s="33" t="inlineStr">
        <is>
          <t>—</t>
        </is>
      </c>
      <c r="H78" s="33" t="inlineStr">
        <is>
          <t>GET articles (publié)</t>
        </is>
      </c>
      <c r="I78" s="33" t="inlineStr">
        <is>
          <t>Pas de header Authorization (économie token, propreté)</t>
        </is>
      </c>
      <c r="J78" s="33" t="inlineStr">
        <is>
          <t>✅</t>
        </is>
      </c>
      <c r="K78" s="33">
        <f>IFERROR(VLOOKUP(B78,'11. MOB'!A:N,10,FALSE()),"")</f>
        <v/>
      </c>
      <c r="L78" s="33">
        <f>IFERROR(VLOOKUP(B78,'11. MOB'!A:N,11,FALSE()),"")</f>
        <v/>
      </c>
      <c r="M78" s="33">
        <f>IFERROR(VLOOKUP(B78,'11. MOB'!A:N,12,FALSE()),"")</f>
        <v/>
      </c>
      <c r="N78" s="33">
        <f>IFERROR(VLOOKUP(B78,'11. MOB'!A:N,13,FALSE()),"")</f>
        <v/>
      </c>
      <c r="O78" s="33">
        <f>IFERROR(VLOOKUP(B78,'11. MOB'!A:N,14,FALSE()),"")</f>
        <v/>
      </c>
    </row>
    <row r="79" ht="15" customHeight="1" s="20">
      <c r="A79" s="38" t="inlineStr">
        <is>
          <t>MOB</t>
        </is>
      </c>
      <c r="B79" s="34" t="inlineStr">
        <is>
          <t>CT-MOB-005</t>
        </is>
      </c>
      <c r="C79" s="34" t="inlineStr">
        <is>
          <t>Erreur HTTP propage le body.error</t>
        </is>
      </c>
      <c r="D79" s="34" t="inlineStr">
        <is>
          <t>Unitaire</t>
        </is>
      </c>
      <c r="E79" s="34" t="inlineStr">
        <is>
          <t>Moyenne</t>
        </is>
      </c>
      <c r="F79" s="34" t="inlineStr">
        <is>
          <t>—</t>
        </is>
      </c>
      <c r="G79" s="34" t="inlineStr">
        <is>
          <t>—</t>
        </is>
      </c>
      <c r="H79" s="34" t="inlineStr">
        <is>
          <t>Provoquer une 401</t>
        </is>
      </c>
      <c r="I79" s="34" t="inlineStr">
        <is>
          <t>UI affiche le message du serveur</t>
        </is>
      </c>
      <c r="J79" s="34" t="inlineStr">
        <is>
          <t>✅ Jest</t>
        </is>
      </c>
      <c r="K79" s="34">
        <f>IFERROR(VLOOKUP(B79,'11. MOB'!A:N,10,FALSE()),"")</f>
        <v/>
      </c>
      <c r="L79" s="34">
        <f>IFERROR(VLOOKUP(B79,'11. MOB'!A:N,11,FALSE()),"")</f>
        <v/>
      </c>
      <c r="M79" s="34">
        <f>IFERROR(VLOOKUP(B79,'11. MOB'!A:N,12,FALSE()),"")</f>
        <v/>
      </c>
      <c r="N79" s="34">
        <f>IFERROR(VLOOKUP(B79,'11. MOB'!A:N,13,FALSE()),"")</f>
        <v/>
      </c>
      <c r="O79" s="34">
        <f>IFERROR(VLOOKUP(B79,'11. MOB'!A:N,14,FALSE()),"")</f>
        <v/>
      </c>
    </row>
    <row r="80" ht="15" customHeight="1" s="20">
      <c r="A80" s="37" t="inlineStr">
        <is>
          <t>MOB</t>
        </is>
      </c>
      <c r="B80" s="33" t="inlineStr">
        <is>
          <t>CT-MOB-006</t>
        </is>
      </c>
      <c r="C80" s="33" t="inlineStr">
        <is>
          <t>Pull-to-refresh sur le journal</t>
        </is>
      </c>
      <c r="D80" s="33" t="inlineStr">
        <is>
          <t>Manuel</t>
        </is>
      </c>
      <c r="E80" s="33" t="inlineStr">
        <is>
          <t>Moyenne</t>
        </is>
      </c>
      <c r="F80" s="33" t="inlineStr">
        <is>
          <t>App authentifiée</t>
        </is>
      </c>
      <c r="G80" s="33" t="inlineStr">
        <is>
          <t>—</t>
        </is>
      </c>
      <c r="H80" s="33" t="inlineStr">
        <is>
          <t>Onglet Journal → tirer vers le bas</t>
        </is>
      </c>
      <c r="I80" s="33" t="inlineStr">
        <is>
          <t>Spinner + refetch via TanStack Query</t>
        </is>
      </c>
      <c r="J80" s="33" t="inlineStr">
        <is>
          <t>Manuel</t>
        </is>
      </c>
      <c r="K80" s="33">
        <f>IFERROR(VLOOKUP(B80,'11. MOB'!A:N,10,FALSE()),"")</f>
        <v/>
      </c>
      <c r="L80" s="33">
        <f>IFERROR(VLOOKUP(B80,'11. MOB'!A:N,11,FALSE()),"")</f>
        <v/>
      </c>
      <c r="M80" s="33">
        <f>IFERROR(VLOOKUP(B80,'11. MOB'!A:N,12,FALSE()),"")</f>
        <v/>
      </c>
      <c r="N80" s="33">
        <f>IFERROR(VLOOKUP(B80,'11. MOB'!A:N,13,FALSE()),"")</f>
        <v/>
      </c>
      <c r="O80" s="33">
        <f>IFERROR(VLOOKUP(B80,'11. MOB'!A:N,14,FALSE()),"")</f>
        <v/>
      </c>
    </row>
    <row r="81" ht="15" customHeight="1" s="20">
      <c r="A81" s="38" t="inlineStr">
        <is>
          <t>MOB</t>
        </is>
      </c>
      <c r="B81" s="34" t="inlineStr">
        <is>
          <t>CT-MOB-007</t>
        </is>
      </c>
      <c r="C81" s="34" t="inlineStr">
        <is>
          <t>Cache TanStack Query staleTime</t>
        </is>
      </c>
      <c r="D81" s="34" t="inlineStr">
        <is>
          <t>Manuel</t>
        </is>
      </c>
      <c r="E81" s="34" t="inlineStr">
        <is>
          <t>Basse</t>
        </is>
      </c>
      <c r="F81" s="34" t="inlineStr">
        <is>
          <t>App authentifiée</t>
        </is>
      </c>
      <c r="G81" s="34" t="inlineStr">
        <is>
          <t>—</t>
        </is>
      </c>
      <c r="H81" s="34" t="inlineStr">
        <is>
          <t>Naviguer entre 2 onglets puis revenir</t>
        </is>
      </c>
      <c r="I81" s="34" t="inlineStr">
        <is>
          <t>Pas de re-fetch si &lt; 60s (staleTime configuré)</t>
        </is>
      </c>
      <c r="J81" s="34" t="inlineStr">
        <is>
          <t>Manuel</t>
        </is>
      </c>
      <c r="K81" s="34">
        <f>IFERROR(VLOOKUP(B81,'11. MOB'!A:N,10,FALSE()),"")</f>
        <v/>
      </c>
      <c r="L81" s="34">
        <f>IFERROR(VLOOKUP(B81,'11. MOB'!A:N,11,FALSE()),"")</f>
        <v/>
      </c>
      <c r="M81" s="34">
        <f>IFERROR(VLOOKUP(B81,'11. MOB'!A:N,12,FALSE()),"")</f>
        <v/>
      </c>
      <c r="N81" s="34">
        <f>IFERROR(VLOOKUP(B81,'11. MOB'!A:N,13,FALSE()),"")</f>
        <v/>
      </c>
      <c r="O81" s="34">
        <f>IFERROR(VLOOKUP(B81,'11. MOB'!A:N,14,FALSE()),"")</f>
        <v/>
      </c>
    </row>
    <row r="82" ht="15" customHeight="1" s="20">
      <c r="A82" s="37" t="inlineStr">
        <is>
          <t>MOB</t>
        </is>
      </c>
      <c r="B82" s="33" t="inlineStr">
        <is>
          <t>CT-MOB-008</t>
        </is>
      </c>
      <c r="C82" s="33" t="inlineStr">
        <is>
          <t>Invalidation après création d'entrée</t>
        </is>
      </c>
      <c r="D82" s="33" t="inlineStr">
        <is>
          <t>Manuel</t>
        </is>
      </c>
      <c r="E82" s="33" t="inlineStr">
        <is>
          <t>Haute</t>
        </is>
      </c>
      <c r="F82" s="33" t="inlineStr">
        <is>
          <t>App authentifiée</t>
        </is>
      </c>
      <c r="G82" s="33" t="inlineStr">
        <is>
          <t>—</t>
        </is>
      </c>
      <c r="H82" s="33" t="inlineStr">
        <is>
          <t>Onglet Journal → ajouter une entrée → revenir</t>
        </is>
      </c>
      <c r="I82" s="33" t="inlineStr">
        <is>
          <t>Liste mise à jour (queryClient.invalidateQueries)</t>
        </is>
      </c>
      <c r="J82" s="33" t="inlineStr">
        <is>
          <t>Manuel</t>
        </is>
      </c>
      <c r="K82" s="33">
        <f>IFERROR(VLOOKUP(B82,'11. MOB'!A:N,10,FALSE()),"")</f>
        <v/>
      </c>
      <c r="L82" s="33">
        <f>IFERROR(VLOOKUP(B82,'11. MOB'!A:N,11,FALSE()),"")</f>
        <v/>
      </c>
      <c r="M82" s="33">
        <f>IFERROR(VLOOKUP(B82,'11. MOB'!A:N,12,FALSE()),"")</f>
        <v/>
      </c>
      <c r="N82" s="33">
        <f>IFERROR(VLOOKUP(B82,'11. MOB'!A:N,13,FALSE()),"")</f>
        <v/>
      </c>
      <c r="O82" s="33">
        <f>IFERROR(VLOOKUP(B82,'11. MOB'!A:N,14,FALSE()),"")</f>
        <v/>
      </c>
    </row>
    <row r="83" ht="20.85" customHeight="1" s="20">
      <c r="A83" s="38" t="inlineStr">
        <is>
          <t>MOB</t>
        </is>
      </c>
      <c r="B83" s="34" t="inlineStr">
        <is>
          <t>CT-MOB-009</t>
        </is>
      </c>
      <c r="C83" s="34" t="inlineStr">
        <is>
          <t>Picker d'émotion en 2 étapes</t>
        </is>
      </c>
      <c r="D83" s="34" t="inlineStr">
        <is>
          <t>Manuel</t>
        </is>
      </c>
      <c r="E83" s="34" t="inlineStr">
        <is>
          <t>Haute</t>
        </is>
      </c>
      <c r="F83" s="34" t="inlineStr">
        <is>
          <t>App authentifiée</t>
        </is>
      </c>
      <c r="G83" s="34" t="inlineStr">
        <is>
          <t>—</t>
        </is>
      </c>
      <c r="H83" s="34" t="inlineStr">
        <is>
          <t>Nouvelle entrée → choisir catégorie → choisir émotion</t>
        </is>
      </c>
      <c r="I83" s="34" t="inlineStr">
        <is>
          <t>UI cohérente, sélection mémorisée</t>
        </is>
      </c>
      <c r="J83" s="34" t="inlineStr">
        <is>
          <t>Manuel</t>
        </is>
      </c>
      <c r="K83" s="34">
        <f>IFERROR(VLOOKUP(B83,'11. MOB'!A:N,10,FALSE()),"")</f>
        <v/>
      </c>
      <c r="L83" s="34">
        <f>IFERROR(VLOOKUP(B83,'11. MOB'!A:N,11,FALSE()),"")</f>
        <v/>
      </c>
      <c r="M83" s="34">
        <f>IFERROR(VLOOKUP(B83,'11. MOB'!A:N,12,FALSE()),"")</f>
        <v/>
      </c>
      <c r="N83" s="34">
        <f>IFERROR(VLOOKUP(B83,'11. MOB'!A:N,13,FALSE()),"")</f>
        <v/>
      </c>
      <c r="O83" s="34">
        <f>IFERROR(VLOOKUP(B83,'11. MOB'!A:N,14,FALSE()),"")</f>
        <v/>
      </c>
    </row>
    <row r="84" ht="20.85" customHeight="1" s="20">
      <c r="A84" s="37" t="inlineStr">
        <is>
          <t>MOB</t>
        </is>
      </c>
      <c r="B84" s="33" t="inlineStr">
        <is>
          <t>CT-MOB-010</t>
        </is>
      </c>
      <c r="C84" s="33" t="inlineStr">
        <is>
          <t>Slider d'intensité 0-5</t>
        </is>
      </c>
      <c r="D84" s="33" t="inlineStr">
        <is>
          <t>Unitaire</t>
        </is>
      </c>
      <c r="E84" s="33" t="inlineStr">
        <is>
          <t>Moyenne</t>
        </is>
      </c>
      <c r="F84" s="33" t="inlineStr">
        <is>
          <t>—</t>
        </is>
      </c>
      <c r="G84" s="33" t="inlineStr">
        <is>
          <t>—</t>
        </is>
      </c>
      <c r="H84" s="33" t="inlineStr">
        <is>
          <t>Glisser le slider</t>
        </is>
      </c>
      <c r="I84" s="33" t="inlineStr">
        <is>
          <t>Valeur snap aux pas entiers, label change ('Faible' → 'Très élevée')</t>
        </is>
      </c>
      <c r="J84" s="33" t="inlineStr">
        <is>
          <t>✅ Jest IntensityPicker</t>
        </is>
      </c>
      <c r="K84" s="33">
        <f>IFERROR(VLOOKUP(B84,'11. MOB'!A:N,10,FALSE()),"")</f>
        <v/>
      </c>
      <c r="L84" s="33">
        <f>IFERROR(VLOOKUP(B84,'11. MOB'!A:N,11,FALSE()),"")</f>
        <v/>
      </c>
      <c r="M84" s="33">
        <f>IFERROR(VLOOKUP(B84,'11. MOB'!A:N,12,FALSE()),"")</f>
        <v/>
      </c>
      <c r="N84" s="33">
        <f>IFERROR(VLOOKUP(B84,'11. MOB'!A:N,13,FALSE()),"")</f>
        <v/>
      </c>
      <c r="O84" s="33">
        <f>IFERROR(VLOOKUP(B84,'11. MOB'!A:N,14,FALSE()),"")</f>
        <v/>
      </c>
    </row>
    <row r="85" ht="15" customHeight="1" s="20">
      <c r="A85" s="38" t="inlineStr">
        <is>
          <t>MOB</t>
        </is>
      </c>
      <c r="B85" s="34" t="inlineStr">
        <is>
          <t>CT-MOB-011</t>
        </is>
      </c>
      <c r="C85" s="34" t="inlineStr">
        <is>
          <t>Calendrier journal — points colorés</t>
        </is>
      </c>
      <c r="D85" s="34" t="inlineStr">
        <is>
          <t>Manuel</t>
        </is>
      </c>
      <c r="E85" s="34" t="inlineStr">
        <is>
          <t>Moyenne</t>
        </is>
      </c>
      <c r="F85" s="34" t="inlineStr">
        <is>
          <t>Entrées en base</t>
        </is>
      </c>
      <c r="G85" s="34" t="inlineStr">
        <is>
          <t>—</t>
        </is>
      </c>
      <c r="H85" s="34" t="inlineStr">
        <is>
          <t>Onglet Journal → vue calendrier</t>
        </is>
      </c>
      <c r="I85" s="34" t="inlineStr">
        <is>
          <t>Dates avec entrée marquées d'un point primary</t>
        </is>
      </c>
      <c r="J85" s="34" t="inlineStr">
        <is>
          <t>Manuel</t>
        </is>
      </c>
      <c r="K85" s="34">
        <f>IFERROR(VLOOKUP(B85,'11. MOB'!A:N,10,FALSE()),"")</f>
        <v/>
      </c>
      <c r="L85" s="34">
        <f>IFERROR(VLOOKUP(B85,'11. MOB'!A:N,11,FALSE()),"")</f>
        <v/>
      </c>
      <c r="M85" s="34">
        <f>IFERROR(VLOOKUP(B85,'11. MOB'!A:N,12,FALSE()),"")</f>
        <v/>
      </c>
      <c r="N85" s="34">
        <f>IFERROR(VLOOKUP(B85,'11. MOB'!A:N,13,FALSE()),"")</f>
        <v/>
      </c>
      <c r="O85" s="34">
        <f>IFERROR(VLOOKUP(B85,'11. MOB'!A:N,14,FALSE()),"")</f>
        <v/>
      </c>
    </row>
    <row r="86" ht="15" customHeight="1" s="20">
      <c r="A86" s="37" t="inlineStr">
        <is>
          <t>MOB</t>
        </is>
      </c>
      <c r="B86" s="33" t="inlineStr">
        <is>
          <t>CT-MOB-012</t>
        </is>
      </c>
      <c r="C86" s="33" t="inlineStr">
        <is>
          <t>Article HTML — heading / liste / lien</t>
        </is>
      </c>
      <c r="D86" s="33" t="inlineStr">
        <is>
          <t>Manuel</t>
        </is>
      </c>
      <c r="E86" s="33" t="inlineStr">
        <is>
          <t>Haute</t>
        </is>
      </c>
      <c r="F86" s="33" t="inlineStr">
        <is>
          <t>Article avec HTML riche</t>
        </is>
      </c>
      <c r="G86" s="33" t="inlineStr">
        <is>
          <t>—</t>
        </is>
      </c>
      <c r="H86" s="33" t="inlineStr">
        <is>
          <t>Ouvrir un article complexe</t>
        </is>
      </c>
      <c r="I86" s="33" t="inlineStr">
        <is>
          <t>h1/h2/h3, ul/ol, lien cliquable, italique, gras OK</t>
        </is>
      </c>
      <c r="J86" s="33" t="inlineStr">
        <is>
          <t>Manuel</t>
        </is>
      </c>
      <c r="K86" s="33">
        <f>IFERROR(VLOOKUP(B86,'11. MOB'!A:N,10,FALSE()),"")</f>
        <v/>
      </c>
      <c r="L86" s="33">
        <f>IFERROR(VLOOKUP(B86,'11. MOB'!A:N,11,FALSE()),"")</f>
        <v/>
      </c>
      <c r="M86" s="33">
        <f>IFERROR(VLOOKUP(B86,'11. MOB'!A:N,12,FALSE()),"")</f>
        <v/>
      </c>
      <c r="N86" s="33">
        <f>IFERROR(VLOOKUP(B86,'11. MOB'!A:N,13,FALSE()),"")</f>
        <v/>
      </c>
      <c r="O86" s="33">
        <f>IFERROR(VLOOKUP(B86,'11. MOB'!A:N,14,FALSE()),"")</f>
        <v/>
      </c>
    </row>
    <row r="87" ht="15" customHeight="1" s="20">
      <c r="A87" s="38" t="inlineStr">
        <is>
          <t>MOB</t>
        </is>
      </c>
      <c r="B87" s="34" t="inlineStr">
        <is>
          <t>CT-MOB-013</t>
        </is>
      </c>
      <c r="C87" s="34" t="inlineStr">
        <is>
          <t>Greeting en fonction de l'heure</t>
        </is>
      </c>
      <c r="D87" s="34" t="inlineStr">
        <is>
          <t>Manuel</t>
        </is>
      </c>
      <c r="E87" s="34" t="inlineStr">
        <is>
          <t>Basse</t>
        </is>
      </c>
      <c r="F87" s="34" t="inlineStr">
        <is>
          <t>—</t>
        </is>
      </c>
      <c r="G87" s="34" t="inlineStr">
        <is>
          <t>—</t>
        </is>
      </c>
      <c r="H87" s="34" t="inlineStr">
        <is>
          <t>Ouvrir l'app le matin / l'après-midi / le soir</t>
        </is>
      </c>
      <c r="I87" s="34" t="inlineStr">
        <is>
          <t>'Bonjour' / 'Bon après-midi' / 'Bonsoir'</t>
        </is>
      </c>
      <c r="J87" s="34" t="inlineStr">
        <is>
          <t>Manuel</t>
        </is>
      </c>
      <c r="K87" s="34">
        <f>IFERROR(VLOOKUP(B87,'11. MOB'!A:N,10,FALSE()),"")</f>
        <v/>
      </c>
      <c r="L87" s="34">
        <f>IFERROR(VLOOKUP(B87,'11. MOB'!A:N,11,FALSE()),"")</f>
        <v/>
      </c>
      <c r="M87" s="34">
        <f>IFERROR(VLOOKUP(B87,'11. MOB'!A:N,12,FALSE()),"")</f>
        <v/>
      </c>
      <c r="N87" s="34">
        <f>IFERROR(VLOOKUP(B87,'11. MOB'!A:N,13,FALSE()),"")</f>
        <v/>
      </c>
      <c r="O87" s="34">
        <f>IFERROR(VLOOKUP(B87,'11. MOB'!A:N,14,FALSE()),"")</f>
        <v/>
      </c>
    </row>
    <row r="88" ht="15" customHeight="1" s="20">
      <c r="A88" s="37" t="inlineStr">
        <is>
          <t>MOB</t>
        </is>
      </c>
      <c r="B88" s="33" t="inlineStr">
        <is>
          <t>CT-MOB-014</t>
        </is>
      </c>
      <c r="C88" s="33" t="inlineStr">
        <is>
          <t>Initiales avatar</t>
        </is>
      </c>
      <c r="D88" s="33" t="inlineStr">
        <is>
          <t>Manuel</t>
        </is>
      </c>
      <c r="E88" s="33" t="inlineStr">
        <is>
          <t>Basse</t>
        </is>
      </c>
      <c r="F88" s="33" t="inlineStr">
        <is>
          <t>Profil avec prénom + nom</t>
        </is>
      </c>
      <c r="G88" s="33" t="inlineStr">
        <is>
          <t>—</t>
        </is>
      </c>
      <c r="H88" s="33" t="inlineStr">
        <is>
          <t>Onglet Profil avec prénom + nom renseignés</t>
        </is>
      </c>
      <c r="I88" s="33" t="inlineStr">
        <is>
          <t>Avatar affiche 'JD' (Jane Doe)</t>
        </is>
      </c>
      <c r="J88" s="33" t="inlineStr">
        <is>
          <t>Manuel</t>
        </is>
      </c>
      <c r="K88" s="33">
        <f>IFERROR(VLOOKUP(B88,'11. MOB'!A:N,10,FALSE()),"")</f>
        <v/>
      </c>
      <c r="L88" s="33">
        <f>IFERROR(VLOOKUP(B88,'11. MOB'!A:N,11,FALSE()),"")</f>
        <v/>
      </c>
      <c r="M88" s="33">
        <f>IFERROR(VLOOKUP(B88,'11. MOB'!A:N,12,FALSE()),"")</f>
        <v/>
      </c>
      <c r="N88" s="33">
        <f>IFERROR(VLOOKUP(B88,'11. MOB'!A:N,13,FALSE()),"")</f>
        <v/>
      </c>
      <c r="O88" s="33">
        <f>IFERROR(VLOOKUP(B88,'11. MOB'!A:N,14,FALSE()),"")</f>
        <v/>
      </c>
    </row>
    <row r="89" ht="15" customHeight="1" s="20">
      <c r="A89" s="38" t="inlineStr">
        <is>
          <t>MOB</t>
        </is>
      </c>
      <c r="B89" s="34" t="inlineStr">
        <is>
          <t>CT-MOB-015</t>
        </is>
      </c>
      <c r="C89" s="34" t="inlineStr">
        <is>
          <t>Mode sans connexion réseau</t>
        </is>
      </c>
      <c r="D89" s="34" t="inlineStr">
        <is>
          <t>Manuel</t>
        </is>
      </c>
      <c r="E89" s="34" t="inlineStr">
        <is>
          <t>Moyenne</t>
        </is>
      </c>
      <c r="F89" s="34" t="inlineStr">
        <is>
          <t>—</t>
        </is>
      </c>
      <c r="G89" s="34" t="inlineStr">
        <is>
          <t>—</t>
        </is>
      </c>
      <c r="H89" s="34" t="inlineStr">
        <is>
          <t>Couper le wifi → essayer d'ajouter une entrée</t>
        </is>
      </c>
      <c r="I89" s="34" t="inlineStr">
        <is>
          <t>Erreur claire affichée, pas de crash, possibilité de retry</t>
        </is>
      </c>
      <c r="J89" s="34" t="inlineStr">
        <is>
          <t>Manuel</t>
        </is>
      </c>
      <c r="K89" s="34">
        <f>IFERROR(VLOOKUP(B89,'11. MOB'!A:N,10,FALSE()),"")</f>
        <v/>
      </c>
      <c r="L89" s="34">
        <f>IFERROR(VLOOKUP(B89,'11. MOB'!A:N,11,FALSE()),"")</f>
        <v/>
      </c>
      <c r="M89" s="34">
        <f>IFERROR(VLOOKUP(B89,'11. MOB'!A:N,12,FALSE()),"")</f>
        <v/>
      </c>
      <c r="N89" s="34">
        <f>IFERROR(VLOOKUP(B89,'11. MOB'!A:N,13,FALSE()),"")</f>
        <v/>
      </c>
      <c r="O89" s="34">
        <f>IFERROR(VLOOKUP(B89,'11. MOB'!A:N,14,FALSE()),"")</f>
        <v/>
      </c>
    </row>
    <row r="90" ht="20.85" customHeight="1" s="20">
      <c r="A90" s="37" t="inlineStr">
        <is>
          <t>SEC</t>
        </is>
      </c>
      <c r="B90" s="33" t="inlineStr">
        <is>
          <t>CT-SEC-001</t>
        </is>
      </c>
      <c r="C90" s="33" t="inlineStr">
        <is>
          <t>Notes utilisateur chiffrées au repos</t>
        </is>
      </c>
      <c r="D90" s="33" t="inlineStr">
        <is>
          <t>Sécurité</t>
        </is>
      </c>
      <c r="E90" s="33" t="inlineStr">
        <is>
          <t>Bloquant (RGPD)</t>
        </is>
      </c>
      <c r="F90" s="33" t="inlineStr">
        <is>
          <t>Entrées en base</t>
        </is>
      </c>
      <c r="G90" s="33" t="inlineStr">
        <is>
          <t>—</t>
        </is>
      </c>
      <c r="H90" s="33" t="inlineStr">
        <is>
          <t>• Inspecter entries.note_encrypted directement
• Vérifier l'absence de la note en clair</t>
        </is>
      </c>
      <c r="I90" s="33" t="inlineStr">
        <is>
          <t>Format AES-256-GCM iv:tag:cipher</t>
        </is>
      </c>
      <c r="J90" s="33" t="inlineStr">
        <is>
          <t>✅</t>
        </is>
      </c>
      <c r="K90" s="33">
        <f>IFERROR(VLOOKUP(B90,'12. SEC'!A:N,10,FALSE()),"")</f>
        <v/>
      </c>
      <c r="L90" s="33">
        <f>IFERROR(VLOOKUP(B90,'12. SEC'!A:N,11,FALSE()),"")</f>
        <v/>
      </c>
      <c r="M90" s="33">
        <f>IFERROR(VLOOKUP(B90,'12. SEC'!A:N,12,FALSE()),"")</f>
        <v/>
      </c>
      <c r="N90" s="33">
        <f>IFERROR(VLOOKUP(B90,'12. SEC'!A:N,13,FALSE()),"")</f>
        <v/>
      </c>
      <c r="O90" s="33">
        <f>IFERROR(VLOOKUP(B90,'12. SEC'!A:N,14,FALSE()),"")</f>
        <v/>
      </c>
    </row>
    <row r="91" ht="15" customHeight="1" s="20">
      <c r="A91" s="38" t="inlineStr">
        <is>
          <t>SEC</t>
        </is>
      </c>
      <c r="B91" s="34" t="inlineStr">
        <is>
          <t>CT-SEC-002</t>
        </is>
      </c>
      <c r="C91" s="34" t="inlineStr">
        <is>
          <t>Mots de passe non stockés en clair</t>
        </is>
      </c>
      <c r="D91" s="34" t="inlineStr">
        <is>
          <t>Sécurité</t>
        </is>
      </c>
      <c r="E91" s="34" t="inlineStr">
        <is>
          <t>Bloquant</t>
        </is>
      </c>
      <c r="F91" s="34" t="inlineStr">
        <is>
          <t>Comptes en base</t>
        </is>
      </c>
      <c r="G91" s="34" t="inlineStr">
        <is>
          <t>—</t>
        </is>
      </c>
      <c r="H91" s="34" t="inlineStr">
        <is>
          <t>SELECT password_hash FROM users</t>
        </is>
      </c>
      <c r="I91" s="34" t="inlineStr">
        <is>
          <t>Format salt:hash hex (scrypt), pas le mot de passe</t>
        </is>
      </c>
      <c r="J91" s="34" t="inlineStr">
        <is>
          <t>✅</t>
        </is>
      </c>
      <c r="K91" s="34">
        <f>IFERROR(VLOOKUP(B91,'12. SEC'!A:N,10,FALSE()),"")</f>
        <v/>
      </c>
      <c r="L91" s="34">
        <f>IFERROR(VLOOKUP(B91,'12. SEC'!A:N,11,FALSE()),"")</f>
        <v/>
      </c>
      <c r="M91" s="34">
        <f>IFERROR(VLOOKUP(B91,'12. SEC'!A:N,12,FALSE()),"")</f>
        <v/>
      </c>
      <c r="N91" s="34">
        <f>IFERROR(VLOOKUP(B91,'12. SEC'!A:N,13,FALSE()),"")</f>
        <v/>
      </c>
      <c r="O91" s="34">
        <f>IFERROR(VLOOKUP(B91,'12. SEC'!A:N,14,FALSE()),"")</f>
        <v/>
      </c>
    </row>
    <row r="92" ht="20.85" customHeight="1" s="20">
      <c r="A92" s="37" t="inlineStr">
        <is>
          <t>SEC</t>
        </is>
      </c>
      <c r="B92" s="33" t="inlineStr">
        <is>
          <t>CT-SEC-003</t>
        </is>
      </c>
      <c r="C92" s="33" t="inlineStr">
        <is>
          <t>Brute-force timing attack</t>
        </is>
      </c>
      <c r="D92" s="33" t="inlineStr">
        <is>
          <t>Sécurité</t>
        </is>
      </c>
      <c r="E92" s="33" t="inlineStr">
        <is>
          <t>Haute</t>
        </is>
      </c>
      <c r="F92" s="33" t="inlineStr">
        <is>
          <t>—</t>
        </is>
      </c>
      <c r="G92" s="33" t="inlineStr">
        <is>
          <t>—</t>
        </is>
      </c>
      <c r="H92" s="33" t="inlineStr">
        <is>
          <t>Mesurer le temps de réponse pour : email valide / mauvais mdp vs email inconnu</t>
        </is>
      </c>
      <c r="I92" s="33" t="inlineStr">
        <is>
          <t>Diff &lt; 50ms (timingSafeEqual + lookup similaires)</t>
        </is>
      </c>
      <c r="J92" s="33" t="inlineStr">
        <is>
          <t>Manuel</t>
        </is>
      </c>
      <c r="K92" s="33">
        <f>IFERROR(VLOOKUP(B92,'12. SEC'!A:N,10,FALSE()),"")</f>
        <v/>
      </c>
      <c r="L92" s="33">
        <f>IFERROR(VLOOKUP(B92,'12. SEC'!A:N,11,FALSE()),"")</f>
        <v/>
      </c>
      <c r="M92" s="33">
        <f>IFERROR(VLOOKUP(B92,'12. SEC'!A:N,12,FALSE()),"")</f>
        <v/>
      </c>
      <c r="N92" s="33">
        <f>IFERROR(VLOOKUP(B92,'12. SEC'!A:N,13,FALSE()),"")</f>
        <v/>
      </c>
      <c r="O92" s="33">
        <f>IFERROR(VLOOKUP(B92,'12. SEC'!A:N,14,FALSE()),"")</f>
        <v/>
      </c>
    </row>
    <row r="93" ht="15" customHeight="1" s="20">
      <c r="A93" s="38" t="inlineStr">
        <is>
          <t>SEC</t>
        </is>
      </c>
      <c r="B93" s="34" t="inlineStr">
        <is>
          <t>CT-SEC-004</t>
        </is>
      </c>
      <c r="C93" s="34" t="inlineStr">
        <is>
          <t>JWT signature altérée</t>
        </is>
      </c>
      <c r="D93" s="34" t="inlineStr">
        <is>
          <t>Sécurité</t>
        </is>
      </c>
      <c r="E93" s="34" t="inlineStr">
        <is>
          <t>Bloquant</t>
        </is>
      </c>
      <c r="F93" s="34" t="inlineStr">
        <is>
          <t>JWT valide</t>
        </is>
      </c>
      <c r="G93" s="34" t="inlineStr">
        <is>
          <t>—</t>
        </is>
      </c>
      <c r="H93" s="34" t="inlineStr">
        <is>
          <t>Modifier la signature d'un token, l'envoyer</t>
        </is>
      </c>
      <c r="I93" s="34" t="inlineStr">
        <is>
          <t>session = null, requête refusée</t>
        </is>
      </c>
      <c r="J93" s="34" t="inlineStr">
        <is>
          <t>✅ CT-AUTH-010</t>
        </is>
      </c>
      <c r="K93" s="34">
        <f>IFERROR(VLOOKUP(B93,'12. SEC'!A:N,10,FALSE()),"")</f>
        <v/>
      </c>
      <c r="L93" s="34">
        <f>IFERROR(VLOOKUP(B93,'12. SEC'!A:N,11,FALSE()),"")</f>
        <v/>
      </c>
      <c r="M93" s="34">
        <f>IFERROR(VLOOKUP(B93,'12. SEC'!A:N,12,FALSE()),"")</f>
        <v/>
      </c>
      <c r="N93" s="34">
        <f>IFERROR(VLOOKUP(B93,'12. SEC'!A:N,13,FALSE()),"")</f>
        <v/>
      </c>
      <c r="O93" s="34">
        <f>IFERROR(VLOOKUP(B93,'12. SEC'!A:N,14,FALSE()),"")</f>
        <v/>
      </c>
    </row>
    <row r="94" ht="20.85" customHeight="1" s="20">
      <c r="A94" s="37" t="inlineStr">
        <is>
          <t>SEC</t>
        </is>
      </c>
      <c r="B94" s="33" t="inlineStr">
        <is>
          <t>CT-SEC-005</t>
        </is>
      </c>
      <c r="C94" s="33" t="inlineStr">
        <is>
          <t>JWT payload modifié (élévation de privilège)</t>
        </is>
      </c>
      <c r="D94" s="33" t="inlineStr">
        <is>
          <t>Sécurité</t>
        </is>
      </c>
      <c r="E94" s="33" t="inlineStr">
        <is>
          <t>Bloquant</t>
        </is>
      </c>
      <c r="F94" s="33" t="inlineStr">
        <is>
          <t>JWT user</t>
        </is>
      </c>
      <c r="G94" s="33" t="inlineStr">
        <is>
          <t>—</t>
        </is>
      </c>
      <c r="H94" s="33" t="inlineStr">
        <is>
          <t>Tenter de modifier le payload pour passer role=admin sans re-signer</t>
        </is>
      </c>
      <c r="I94" s="33" t="inlineStr">
        <is>
          <t>Vérification HMAC échoue → null</t>
        </is>
      </c>
      <c r="J94" s="33" t="inlineStr">
        <is>
          <t>✅ par jose</t>
        </is>
      </c>
      <c r="K94" s="33">
        <f>IFERROR(VLOOKUP(B94,'12. SEC'!A:N,10,FALSE()),"")</f>
        <v/>
      </c>
      <c r="L94" s="33">
        <f>IFERROR(VLOOKUP(B94,'12. SEC'!A:N,11,FALSE()),"")</f>
        <v/>
      </c>
      <c r="M94" s="33">
        <f>IFERROR(VLOOKUP(B94,'12. SEC'!A:N,12,FALSE()),"")</f>
        <v/>
      </c>
      <c r="N94" s="33">
        <f>IFERROR(VLOOKUP(B94,'12. SEC'!A:N,13,FALSE()),"")</f>
        <v/>
      </c>
      <c r="O94" s="33">
        <f>IFERROR(VLOOKUP(B94,'12. SEC'!A:N,14,FALSE()),"")</f>
        <v/>
      </c>
    </row>
    <row r="95" ht="20.85" customHeight="1" s="20">
      <c r="A95" s="38" t="inlineStr">
        <is>
          <t>SEC</t>
        </is>
      </c>
      <c r="B95" s="34" t="inlineStr">
        <is>
          <t>CT-SEC-006</t>
        </is>
      </c>
      <c r="C95" s="34" t="inlineStr">
        <is>
          <t>IDOR (lecture entrée d'un autre user)</t>
        </is>
      </c>
      <c r="D95" s="34" t="inlineStr">
        <is>
          <t>Sécurité</t>
        </is>
      </c>
      <c r="E95" s="34" t="inlineStr">
        <is>
          <t>Bloquant</t>
        </is>
      </c>
      <c r="F95" s="34" t="inlineStr">
        <is>
          <t>Entrée userA, token userB</t>
        </is>
      </c>
      <c r="G95" s="34" t="inlineStr">
        <is>
          <t>—</t>
        </is>
      </c>
      <c r="H95" s="34" t="inlineStr">
        <is>
          <t>GET /api/entries/&lt;uuid-de-userA&gt; avec token userB</t>
        </is>
      </c>
      <c r="I95" s="34" t="inlineStr">
        <is>
          <t>HTTP 404</t>
        </is>
      </c>
      <c r="J95" s="34" t="inlineStr">
        <is>
          <t>✅ CT-JRN-010</t>
        </is>
      </c>
      <c r="K95" s="34">
        <f>IFERROR(VLOOKUP(B95,'12. SEC'!A:N,10,FALSE()),"")</f>
        <v/>
      </c>
      <c r="L95" s="34">
        <f>IFERROR(VLOOKUP(B95,'12. SEC'!A:N,11,FALSE()),"")</f>
        <v/>
      </c>
      <c r="M95" s="34">
        <f>IFERROR(VLOOKUP(B95,'12. SEC'!A:N,12,FALSE()),"")</f>
        <v/>
      </c>
      <c r="N95" s="34">
        <f>IFERROR(VLOOKUP(B95,'12. SEC'!A:N,13,FALSE()),"")</f>
        <v/>
      </c>
      <c r="O95" s="34">
        <f>IFERROR(VLOOKUP(B95,'12. SEC'!A:N,14,FALSE()),"")</f>
        <v/>
      </c>
    </row>
    <row r="96" ht="20.85" customHeight="1" s="20">
      <c r="A96" s="37" t="inlineStr">
        <is>
          <t>SEC</t>
        </is>
      </c>
      <c r="B96" s="33" t="inlineStr">
        <is>
          <t>CT-SEC-007</t>
        </is>
      </c>
      <c r="C96" s="33" t="inlineStr">
        <is>
          <t>XSS dans la note (saisie utilisateur)</t>
        </is>
      </c>
      <c r="D96" s="33" t="inlineStr">
        <is>
          <t>Sécurité</t>
        </is>
      </c>
      <c r="E96" s="33" t="inlineStr">
        <is>
          <t>Haute</t>
        </is>
      </c>
      <c r="F96" s="33" t="inlineStr">
        <is>
          <t>—</t>
        </is>
      </c>
      <c r="G96" s="33" t="inlineStr">
        <is>
          <t>note='&lt;script&gt;alert(1)&lt;/script&gt;'</t>
        </is>
      </c>
      <c r="H96" s="33" t="inlineStr">
        <is>
          <t>Créer entrée avec script tag</t>
        </is>
      </c>
      <c r="I96" s="33" t="inlineStr">
        <is>
          <t>• Web : note affichée en texte brut (pas d'exécution)
• Mobile : idem (Text component)</t>
        </is>
      </c>
      <c r="J96" s="33" t="inlineStr">
        <is>
          <t>Manuel</t>
        </is>
      </c>
      <c r="K96" s="33">
        <f>IFERROR(VLOOKUP(B96,'12. SEC'!A:N,10,FALSE()),"")</f>
        <v/>
      </c>
      <c r="L96" s="33">
        <f>IFERROR(VLOOKUP(B96,'12. SEC'!A:N,11,FALSE()),"")</f>
        <v/>
      </c>
      <c r="M96" s="33">
        <f>IFERROR(VLOOKUP(B96,'12. SEC'!A:N,12,FALSE()),"")</f>
        <v/>
      </c>
      <c r="N96" s="33">
        <f>IFERROR(VLOOKUP(B96,'12. SEC'!A:N,13,FALSE()),"")</f>
        <v/>
      </c>
      <c r="O96" s="33">
        <f>IFERROR(VLOOKUP(B96,'12. SEC'!A:N,14,FALSE()),"")</f>
        <v/>
      </c>
    </row>
    <row r="97" ht="30.55" customHeight="1" s="20">
      <c r="A97" s="38" t="inlineStr">
        <is>
          <t>SEC</t>
        </is>
      </c>
      <c r="B97" s="34" t="inlineStr">
        <is>
          <t>CT-SEC-008</t>
        </is>
      </c>
      <c r="C97" s="34" t="inlineStr">
        <is>
          <t>XSS dans le contenu d'un article (admin)</t>
        </is>
      </c>
      <c r="D97" s="34" t="inlineStr">
        <is>
          <t>Sécurité</t>
        </is>
      </c>
      <c r="E97" s="34" t="inlineStr">
        <is>
          <t>Haute</t>
        </is>
      </c>
      <c r="F97" s="34" t="inlineStr">
        <is>
          <t>Admin connecté</t>
        </is>
      </c>
      <c r="G97" s="34" t="inlineStr">
        <is>
          <t>Contenu HTML</t>
        </is>
      </c>
      <c r="H97" s="34" t="inlineStr">
        <is>
          <t>Admin entre du HTML rendu via dangerouslySetInnerHTML</t>
        </is>
      </c>
      <c r="I97" s="34" t="inlineStr">
        <is>
          <t>À risque par design — la confiance est placée sur le compte admin. À documenter explicitement. (TipTap utilisé : sanitize amont, revue admin)</t>
        </is>
      </c>
      <c r="J97" s="34" t="inlineStr">
        <is>
          <t>Non</t>
        </is>
      </c>
      <c r="K97" s="34">
        <f>IFERROR(VLOOKUP(B97,'12. SEC'!A:N,10,FALSE()),"")</f>
        <v/>
      </c>
      <c r="L97" s="34">
        <f>IFERROR(VLOOKUP(B97,'12. SEC'!A:N,11,FALSE()),"")</f>
        <v/>
      </c>
      <c r="M97" s="34">
        <f>IFERROR(VLOOKUP(B97,'12. SEC'!A:N,12,FALSE()),"")</f>
        <v/>
      </c>
      <c r="N97" s="34">
        <f>IFERROR(VLOOKUP(B97,'12. SEC'!A:N,13,FALSE()),"")</f>
        <v/>
      </c>
      <c r="O97" s="34">
        <f>IFERROR(VLOOKUP(B97,'12. SEC'!A:N,14,FALSE()),"")</f>
        <v/>
      </c>
    </row>
    <row r="98" ht="20.85" customHeight="1" s="20">
      <c r="A98" s="37" t="inlineStr">
        <is>
          <t>SEC</t>
        </is>
      </c>
      <c r="B98" s="33" t="inlineStr">
        <is>
          <t>CT-SEC-009</t>
        </is>
      </c>
      <c r="C98" s="33" t="inlineStr">
        <is>
          <t>SQL injection</t>
        </is>
      </c>
      <c r="D98" s="33" t="inlineStr">
        <is>
          <t>Sécurité</t>
        </is>
      </c>
      <c r="E98" s="33" t="inlineStr">
        <is>
          <t>Bloquant</t>
        </is>
      </c>
      <c r="F98" s="33" t="inlineStr">
        <is>
          <t>—</t>
        </is>
      </c>
      <c r="G98" s="33" t="inlineStr">
        <is>
          <t>email="'; DROP TABLE users;--"</t>
        </is>
      </c>
      <c r="H98" s="33" t="inlineStr">
        <is>
          <t>Soumettre email avec injection SQL</t>
        </is>
      </c>
      <c r="I98" s="33" t="inlineStr">
        <is>
          <t>Drizzle utilise des requêtes paramétrées, aucune exécution</t>
        </is>
      </c>
      <c r="J98" s="33" t="inlineStr">
        <is>
          <t>Manuel + couvert par les tests intégration</t>
        </is>
      </c>
      <c r="K98" s="33">
        <f>IFERROR(VLOOKUP(B98,'12. SEC'!A:N,10,FALSE()),"")</f>
        <v/>
      </c>
      <c r="L98" s="33">
        <f>IFERROR(VLOOKUP(B98,'12. SEC'!A:N,11,FALSE()),"")</f>
        <v/>
      </c>
      <c r="M98" s="33">
        <f>IFERROR(VLOOKUP(B98,'12. SEC'!A:N,12,FALSE()),"")</f>
        <v/>
      </c>
      <c r="N98" s="33">
        <f>IFERROR(VLOOKUP(B98,'12. SEC'!A:N,13,FALSE()),"")</f>
        <v/>
      </c>
      <c r="O98" s="33">
        <f>IFERROR(VLOOKUP(B98,'12. SEC'!A:N,14,FALSE()),"")</f>
        <v/>
      </c>
    </row>
    <row r="99" ht="20.85" customHeight="1" s="20">
      <c r="A99" s="38" t="inlineStr">
        <is>
          <t>SEC</t>
        </is>
      </c>
      <c r="B99" s="34" t="inlineStr">
        <is>
          <t>CT-SEC-010</t>
        </is>
      </c>
      <c r="C99" s="34" t="inlineStr">
        <is>
          <t>CSRF (Cross-Site Request Forgery)</t>
        </is>
      </c>
      <c r="D99" s="34" t="inlineStr">
        <is>
          <t>Sécurité</t>
        </is>
      </c>
      <c r="E99" s="34" t="inlineStr">
        <is>
          <t>Haute</t>
        </is>
      </c>
      <c r="F99" s="34" t="inlineStr">
        <is>
          <t>—</t>
        </is>
      </c>
      <c r="G99" s="34" t="inlineStr">
        <is>
          <t>—</t>
        </is>
      </c>
      <c r="H99" s="34" t="inlineStr">
        <is>
          <t>Cookie sameSite=lax configuré dans createSession</t>
        </is>
      </c>
      <c r="I99" s="34" t="inlineStr">
        <is>
          <t>Les requêtes cross-site n'envoient pas le cookie automatiquement</t>
        </is>
      </c>
      <c r="J99" s="34" t="inlineStr">
        <is>
          <t>Couvert par lecture du code</t>
        </is>
      </c>
      <c r="K99" s="34">
        <f>IFERROR(VLOOKUP(B99,'12. SEC'!A:N,10,FALSE()),"")</f>
        <v/>
      </c>
      <c r="L99" s="34">
        <f>IFERROR(VLOOKUP(B99,'12. SEC'!A:N,11,FALSE()),"")</f>
        <v/>
      </c>
      <c r="M99" s="34">
        <f>IFERROR(VLOOKUP(B99,'12. SEC'!A:N,12,FALSE()),"")</f>
        <v/>
      </c>
      <c r="N99" s="34">
        <f>IFERROR(VLOOKUP(B99,'12. SEC'!A:N,13,FALSE()),"")</f>
        <v/>
      </c>
      <c r="O99" s="34">
        <f>IFERROR(VLOOKUP(B99,'12. SEC'!A:N,14,FALSE()),"")</f>
        <v/>
      </c>
    </row>
    <row r="100" ht="30.55" customHeight="1" s="20">
      <c r="A100" s="37" t="inlineStr">
        <is>
          <t>SEC</t>
        </is>
      </c>
      <c r="B100" s="33" t="inlineStr">
        <is>
          <t>CT-SEC-011</t>
        </is>
      </c>
      <c r="C100" s="33" t="inlineStr">
        <is>
          <t>Headers de sécurité</t>
        </is>
      </c>
      <c r="D100" s="33" t="inlineStr">
        <is>
          <t>Sécurité</t>
        </is>
      </c>
      <c r="E100" s="33" t="inlineStr">
        <is>
          <t>Moyenne</t>
        </is>
      </c>
      <c r="F100" s="33" t="inlineStr">
        <is>
          <t>—</t>
        </is>
      </c>
      <c r="G100" s="33" t="inlineStr">
        <is>
          <t>—</t>
        </is>
      </c>
      <c r="H100" s="33" t="inlineStr">
        <is>
          <t>Inspecter les headers de réponse</t>
        </is>
      </c>
      <c r="I100" s="33" t="inlineStr">
        <is>
          <t>À auditer : CSP, X-Frame-Options, X-Content-Type-Options, Strict-Transport-Security (à compléter en production)</t>
        </is>
      </c>
      <c r="J100" s="33" t="inlineStr">
        <is>
          <t>Manuel — non implémenté actuellement</t>
        </is>
      </c>
      <c r="K100" s="33">
        <f>IFERROR(VLOOKUP(B100,'12. SEC'!A:N,10,FALSE()),"")</f>
        <v/>
      </c>
      <c r="L100" s="33">
        <f>IFERROR(VLOOKUP(B100,'12. SEC'!A:N,11,FALSE()),"")</f>
        <v/>
      </c>
      <c r="M100" s="33">
        <f>IFERROR(VLOOKUP(B100,'12. SEC'!A:N,12,FALSE()),"")</f>
        <v/>
      </c>
      <c r="N100" s="33">
        <f>IFERROR(VLOOKUP(B100,'12. SEC'!A:N,13,FALSE()),"")</f>
        <v/>
      </c>
      <c r="O100" s="33">
        <f>IFERROR(VLOOKUP(B100,'12. SEC'!A:N,14,FALSE()),"")</f>
        <v/>
      </c>
    </row>
    <row r="101" ht="15" customHeight="1" s="20">
      <c r="A101" s="38" t="inlineStr">
        <is>
          <t>SEC</t>
        </is>
      </c>
      <c r="B101" s="34" t="inlineStr">
        <is>
          <t>CT-SEC-012</t>
        </is>
      </c>
      <c r="C101" s="34" t="inlineStr">
        <is>
          <t>Brute-force login (rate limiting)</t>
        </is>
      </c>
      <c r="D101" s="34" t="inlineStr">
        <is>
          <t>Sécurité</t>
        </is>
      </c>
      <c r="E101" s="34" t="inlineStr">
        <is>
          <t>Haute</t>
        </is>
      </c>
      <c r="F101" s="34" t="inlineStr">
        <is>
          <t>—</t>
        </is>
      </c>
      <c r="G101" s="34" t="inlineStr">
        <is>
          <t>—</t>
        </is>
      </c>
      <c r="H101" s="34" t="inlineStr">
        <is>
          <t>Pas de rate limiter actuellement → backlog</t>
        </is>
      </c>
      <c r="I101" s="34" t="inlineStr">
        <is>
          <t>À implémenter (Upstash Ratelimit, middleware)</t>
        </is>
      </c>
      <c r="J101" s="34" t="inlineStr">
        <is>
          <t>Non — anomalie connue</t>
        </is>
      </c>
      <c r="K101" s="34">
        <f>IFERROR(VLOOKUP(B101,'12. SEC'!A:N,10,FALSE()),"")</f>
        <v/>
      </c>
      <c r="L101" s="34">
        <f>IFERROR(VLOOKUP(B101,'12. SEC'!A:N,11,FALSE()),"")</f>
        <v/>
      </c>
      <c r="M101" s="34">
        <f>IFERROR(VLOOKUP(B101,'12. SEC'!A:N,12,FALSE()),"")</f>
        <v/>
      </c>
      <c r="N101" s="34">
        <f>IFERROR(VLOOKUP(B101,'12. SEC'!A:N,13,FALSE()),"")</f>
        <v/>
      </c>
      <c r="O101" s="34">
        <f>IFERROR(VLOOKUP(B101,'12. SEC'!A:N,14,FALSE()),"")</f>
        <v/>
      </c>
    </row>
  </sheetData>
  <autoFilter ref="A3:O101"/>
  <mergeCells count="2">
    <mergeCell ref="A1:O1"/>
    <mergeCell ref="A2:O2"/>
  </mergeCells>
  <conditionalFormatting sqref="E4:E101">
    <cfRule type="cellIs" rank="0" priority="2" equalAverage="0" operator="equal" aboveAverage="0" dxfId="0" text="" percent="0" bottom="0">
      <formula>"Bloquant"</formula>
    </cfRule>
    <cfRule type="cellIs" rank="0" priority="3" equalAverage="0" operator="equal" aboveAverage="0" dxfId="0" text="" percent="0" bottom="0">
      <formula>"Bloquant (sécurité)"</formula>
    </cfRule>
    <cfRule type="cellIs" rank="0" priority="4" equalAverage="0" operator="equal" aboveAverage="0" dxfId="0" text="" percent="0" bottom="0">
      <formula>"Bloquant (RGPD)"</formula>
    </cfRule>
    <cfRule type="cellIs" rank="0" priority="5" equalAverage="0" operator="equal" aboveAverage="0" dxfId="0" text="" percent="0" bottom="0">
      <formula>"Bloquante"</formula>
    </cfRule>
    <cfRule type="cellIs" rank="0" priority="6" equalAverage="0" operator="equal" aboveAverage="0" dxfId="1" text="" percent="0" bottom="0">
      <formula>"Haute"</formula>
    </cfRule>
    <cfRule type="cellIs" rank="0" priority="7" equalAverage="0" operator="equal" aboveAverage="0" dxfId="1" text="" percent="0" bottom="0">
      <formula>"Haute (sécurité)"</formula>
    </cfRule>
    <cfRule type="cellIs" rank="0" priority="8" equalAverage="0" operator="equal" aboveAverage="0" dxfId="1" text="" percent="0" bottom="0">
      <formula>"Majeur"</formula>
    </cfRule>
    <cfRule type="cellIs" rank="0" priority="9" equalAverage="0" operator="equal" aboveAverage="0" dxfId="1" text="" percent="0" bottom="0">
      <formula>"Majeure"</formula>
    </cfRule>
    <cfRule type="cellIs" rank="0" priority="10" equalAverage="0" operator="equal" aboveAverage="0" dxfId="2" text="" percent="0" bottom="0">
      <formula>"Moyenne"</formula>
    </cfRule>
    <cfRule type="cellIs" rank="0" priority="11" equalAverage="0" operator="equal" aboveAverage="0" dxfId="2" text="" percent="0" bottom="0">
      <formula>"Mineur"</formula>
    </cfRule>
    <cfRule type="cellIs" rank="0" priority="12" equalAverage="0" operator="equal" aboveAverage="0" dxfId="2" text="" percent="0" bottom="0">
      <formula>"Mineure"</formula>
    </cfRule>
    <cfRule type="cellIs" rank="0" priority="13" equalAverage="0" operator="equal" aboveAverage="0" dxfId="3" text="" percent="0" bottom="0">
      <formula>"Basse"</formula>
    </cfRule>
    <cfRule type="cellIs" rank="0" priority="14" equalAverage="0" operator="equal" aboveAverage="0" dxfId="3" text="" percent="0" bottom="0">
      <formula>"Cosmétique"</formula>
    </cfRule>
  </conditionalFormatting>
  <conditionalFormatting sqref="K4:K101">
    <cfRule type="cellIs" rank="0" priority="15" equalAverage="0" operator="equal" aboveAverage="0" dxfId="27" text="" percent="0" bottom="0">
      <formula>"OK"</formula>
    </cfRule>
    <cfRule type="cellIs" rank="0" priority="16" equalAverage="0" operator="equal" aboveAverage="0" dxfId="28" text="" percent="0" bottom="0">
      <formula>"KO"</formula>
    </cfRule>
    <cfRule type="cellIs" rank="0" priority="17" equalAverage="0" operator="equal" aboveAverage="0" dxfId="29" text="" percent="0" bottom="0">
      <formula>"Bloqué"</formula>
    </cfRule>
    <cfRule type="cellIs" rank="0" priority="18" equalAverage="0" operator="equal" aboveAverage="0" dxfId="30" text="" percent="0" bottom="0">
      <formula>"N/A"</formula>
    </cfRule>
    <cfRule type="cellIs" rank="0" priority="19" equalAverage="0" operator="equal" aboveAverage="0" dxfId="31" text="" percent="0" bottom="0">
      <formula>"À exécuter"</formula>
    </cfRule>
  </conditionalFormatting>
  <conditionalFormatting sqref="A4:A101">
    <cfRule type="cellIs" rank="0" priority="20" equalAverage="0" operator="equal" aboveAverage="0" dxfId="32" text="" percent="0" bottom="0">
      <formula>"AUTH"</formula>
    </cfRule>
    <cfRule type="cellIs" rank="0" priority="21" equalAverage="0" operator="equal" aboveAverage="0" dxfId="33" text="" percent="0" bottom="0">
      <formula>"JRN"</formula>
    </cfRule>
    <cfRule type="cellIs" rank="0" priority="22" equalAverage="0" operator="equal" aboveAverage="0" dxfId="2" text="" percent="0" bottom="0">
      <formula>"STAT"</formula>
    </cfRule>
    <cfRule type="cellIs" rank="0" priority="23" equalAverage="0" operator="equal" aboveAverage="0" dxfId="34" text="" percent="0" bottom="0">
      <formula>"CONS"</formula>
    </cfRule>
    <cfRule type="cellIs" rank="0" priority="24" equalAverage="0" operator="equal" aboveAverage="0" dxfId="3" text="" percent="0" bottom="0">
      <formula>"ADM"</formula>
    </cfRule>
    <cfRule type="cellIs" rank="0" priority="25" equalAverage="0" operator="equal" aboveAverage="0" dxfId="35" text="" percent="0" bottom="0">
      <formula>"MOB"</formula>
    </cfRule>
    <cfRule type="cellIs" rank="0" priority="26" equalAverage="0" operator="equal" aboveAverage="0" dxfId="28" text="" percent="0" bottom="0">
      <formula>"SEC"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4" customWidth="1" style="19" min="1" max="1"/>
    <col width="40" customWidth="1" style="19" min="2" max="2"/>
    <col width="14" customWidth="1" style="19" min="3" max="3"/>
    <col width="16" customWidth="1" style="19" min="4" max="4"/>
    <col width="30" customWidth="1" style="19" min="5" max="6"/>
    <col width="40" customWidth="1" style="19" min="7" max="7"/>
    <col width="45" customWidth="1" style="19" min="8" max="8"/>
    <col width="25" customWidth="1" style="19" min="9" max="9"/>
    <col width="15" customWidth="1" style="19" min="10" max="10"/>
    <col width="14" customWidth="1" style="19" min="11" max="11"/>
    <col width="18" customWidth="1" style="19" min="12" max="12"/>
    <col width="30" customWidth="1" style="19" min="13" max="13"/>
    <col width="16" customWidth="1" style="19" min="14" max="14"/>
  </cols>
  <sheetData>
    <row r="1" ht="27.75" customHeight="1" s="20">
      <c r="A1" s="21" t="inlineStr">
        <is>
          <t>6. Cas de test — AUTH (Authentification)</t>
        </is>
      </c>
    </row>
    <row r="3" ht="30" customHeight="1" s="20">
      <c r="A3" s="32" t="inlineStr">
        <is>
          <t>ID</t>
        </is>
      </c>
      <c r="B3" s="32" t="inlineStr">
        <is>
          <t>Titre</t>
        </is>
      </c>
      <c r="C3" s="32" t="inlineStr">
        <is>
          <t>Niveau</t>
        </is>
      </c>
      <c r="D3" s="32" t="inlineStr">
        <is>
          <t>Criticité</t>
        </is>
      </c>
      <c r="E3" s="32" t="inlineStr">
        <is>
          <t>Préconditions</t>
        </is>
      </c>
      <c r="F3" s="32" t="inlineStr">
        <is>
          <t>Données</t>
        </is>
      </c>
      <c r="G3" s="32" t="inlineStr">
        <is>
          <t>Étapes</t>
        </is>
      </c>
      <c r="H3" s="32" t="inlineStr">
        <is>
          <t>Résultat attendu</t>
        </is>
      </c>
      <c r="I3" s="32" t="inlineStr">
        <is>
          <t>Automatisé</t>
        </is>
      </c>
      <c r="J3" s="32" t="inlineStr">
        <is>
          <t>Statut</t>
        </is>
      </c>
      <c r="K3" s="32" t="inlineStr">
        <is>
          <t>Date exécution</t>
        </is>
      </c>
      <c r="L3" s="32" t="inlineStr">
        <is>
          <t>Testeur</t>
        </is>
      </c>
      <c r="M3" s="32" t="inlineStr">
        <is>
          <t>Commentaire</t>
        </is>
      </c>
      <c r="N3" s="32" t="inlineStr">
        <is>
          <t>ID anomalie</t>
        </is>
      </c>
    </row>
    <row r="4" ht="49.5" customHeight="1" s="20">
      <c r="A4" s="33" t="inlineStr">
        <is>
          <t>CT-AUTH-001</t>
        </is>
      </c>
      <c r="B4" s="33" t="inlineStr">
        <is>
          <t>Inscription nominale</t>
        </is>
      </c>
      <c r="C4" s="33" t="inlineStr">
        <is>
          <t>Intégration</t>
        </is>
      </c>
      <c r="D4" s="33" t="inlineStr">
        <is>
          <t>Bloquant</t>
        </is>
      </c>
      <c r="E4" s="33" t="inlineStr">
        <is>
          <t>Aucun compte avec l'email cible n'existe en DB</t>
        </is>
      </c>
      <c r="F4" s="33" t="inlineStr">
        <is>
          <t>email=new@test.com, password=Password1, confirm=Password1, prenom=Jane, nom=Doe</t>
        </is>
      </c>
      <c r="G4" s="33" t="inlineStr">
        <is>
          <t>1. POST /api/auth/register avec le body
2. Lire la réponse</t>
        </is>
      </c>
      <c r="H4" s="33" t="inlineStr">
        <is>
          <t>• HTTP 200
• body.success === true
• body.token au format JWT (3 segments séparés par .)
• Cookie session posé httpOnly + sameSite=lax
• Ligne créée dans users avec role='user' et isBanned=false</t>
        </is>
      </c>
      <c r="I4" s="33" t="inlineStr">
        <is>
          <t>✅ tests/integration/auth.test.ts</t>
        </is>
      </c>
      <c r="J4" s="33" t="inlineStr">
        <is>
          <t>À exécuter</t>
        </is>
      </c>
      <c r="K4" s="33" t="n"/>
      <c r="L4" s="33" t="n"/>
      <c r="M4" s="33" t="n"/>
      <c r="N4" s="33" t="n"/>
    </row>
    <row r="5" ht="20.25" customHeight="1" s="20">
      <c r="A5" s="34" t="inlineStr">
        <is>
          <t>CT-AUTH-002</t>
        </is>
      </c>
      <c r="B5" s="34" t="inlineStr">
        <is>
          <t>Inscription rejetée pour mot de passe faible</t>
        </is>
      </c>
      <c r="C5" s="34" t="inlineStr">
        <is>
          <t>Intégration</t>
        </is>
      </c>
      <c r="D5" s="34" t="inlineStr">
        <is>
          <t>Haute</t>
        </is>
      </c>
      <c r="E5" s="34" t="inlineStr">
        <is>
          <t>—</t>
        </is>
      </c>
      <c r="F5" s="34" t="inlineStr">
        <is>
          <t>email=a@b.co, password=short, confirm=short</t>
        </is>
      </c>
      <c r="G5" s="34" t="inlineStr">
        <is>
          <t>POST /api/auth/register</t>
        </is>
      </c>
      <c r="H5" s="34" t="inlineStr">
        <is>
          <t>HTTP 400 + body.fieldErrors.password non vide (regex maj/min/chiffre/8 car)</t>
        </is>
      </c>
      <c r="I5" s="34" t="inlineStr">
        <is>
          <t>✅</t>
        </is>
      </c>
      <c r="J5" s="34" t="inlineStr">
        <is>
          <t>À exécuter</t>
        </is>
      </c>
      <c r="K5" s="34" t="n"/>
      <c r="L5" s="34" t="n"/>
      <c r="M5" s="34" t="n"/>
      <c r="N5" s="34" t="n"/>
    </row>
    <row r="6" ht="15" customHeight="1" s="20">
      <c r="A6" s="33" t="inlineStr">
        <is>
          <t>CT-AUTH-003</t>
        </is>
      </c>
      <c r="B6" s="33" t="inlineStr">
        <is>
          <t>Inscription rejetée pour email déjà utilisé</t>
        </is>
      </c>
      <c r="C6" s="33" t="inlineStr">
        <is>
          <t>Intégration</t>
        </is>
      </c>
      <c r="D6" s="33" t="inlineStr">
        <is>
          <t>Haute</t>
        </is>
      </c>
      <c r="E6" s="33" t="inlineStr">
        <is>
          <t>Un user dup@test.com existe</t>
        </is>
      </c>
      <c r="F6" s="33" t="inlineStr">
        <is>
          <t>email=dup@test.com</t>
        </is>
      </c>
      <c r="G6" s="33" t="inlineStr">
        <is>
          <t>POST /api/auth/register avec ce même email</t>
        </is>
      </c>
      <c r="H6" s="33" t="inlineStr">
        <is>
          <t>HTTP 409 + body.error contient « existe déjà »</t>
        </is>
      </c>
      <c r="I6" s="33" t="inlineStr">
        <is>
          <t>✅</t>
        </is>
      </c>
      <c r="J6" s="33" t="inlineStr">
        <is>
          <t>À exécuter</t>
        </is>
      </c>
      <c r="K6" s="33" t="n"/>
      <c r="L6" s="33" t="n"/>
      <c r="M6" s="33" t="n"/>
      <c r="N6" s="33" t="n"/>
    </row>
    <row r="7" ht="20.25" customHeight="1" s="20">
      <c r="A7" s="34" t="inlineStr">
        <is>
          <t>CT-AUTH-004</t>
        </is>
      </c>
      <c r="B7" s="34" t="inlineStr">
        <is>
          <t>Connexion nominale</t>
        </is>
      </c>
      <c r="C7" s="34" t="inlineStr">
        <is>
          <t>Intégration</t>
        </is>
      </c>
      <c r="D7" s="34" t="inlineStr">
        <is>
          <t>Bloquant</t>
        </is>
      </c>
      <c r="E7" s="34" t="inlineStr">
        <is>
          <t>Compte log@test.com / Password123 actif</t>
        </is>
      </c>
      <c r="F7" s="34" t="inlineStr">
        <is>
          <t>—</t>
        </is>
      </c>
      <c r="G7" s="34" t="inlineStr">
        <is>
          <t>POST /api/auth/login</t>
        </is>
      </c>
      <c r="H7" s="34" t="inlineStr">
        <is>
          <t>HTTP 200 + token JWT + cookie session posé</t>
        </is>
      </c>
      <c r="I7" s="34" t="inlineStr">
        <is>
          <t>✅</t>
        </is>
      </c>
      <c r="J7" s="34" t="inlineStr">
        <is>
          <t>À exécuter</t>
        </is>
      </c>
      <c r="K7" s="34" t="n"/>
      <c r="L7" s="34" t="n"/>
      <c r="M7" s="34" t="n"/>
      <c r="N7" s="34" t="n"/>
    </row>
    <row r="8" ht="20.25" customHeight="1" s="20">
      <c r="A8" s="33" t="inlineStr">
        <is>
          <t>CT-AUTH-005</t>
        </is>
      </c>
      <c r="B8" s="33" t="inlineStr">
        <is>
          <t>Connexion refusée — mauvais mot de passe</t>
        </is>
      </c>
      <c r="C8" s="33" t="inlineStr">
        <is>
          <t>Intégration</t>
        </is>
      </c>
      <c r="D8" s="33" t="inlineStr">
        <is>
          <t>Bloquant</t>
        </is>
      </c>
      <c r="E8" s="33" t="inlineStr">
        <is>
          <t>—</t>
        </is>
      </c>
      <c r="F8" s="33" t="inlineStr">
        <is>
          <t>—</t>
        </is>
      </c>
      <c r="G8" s="33" t="inlineStr">
        <is>
          <t>POST /api/auth/login avec mauvais mot de passe</t>
        </is>
      </c>
      <c r="H8" s="33" t="inlineStr">
        <is>
          <t>HTTP 401 + body.error « Email ou mot de passe incorrect » (message identique pour email inconnu, anti-énumération)</t>
        </is>
      </c>
      <c r="I8" s="33" t="inlineStr">
        <is>
          <t>✅</t>
        </is>
      </c>
      <c r="J8" s="33" t="inlineStr">
        <is>
          <t>À exécuter</t>
        </is>
      </c>
      <c r="K8" s="33" t="n"/>
      <c r="L8" s="33" t="n"/>
      <c r="M8" s="33" t="n"/>
      <c r="N8" s="33" t="n"/>
    </row>
    <row r="9" ht="15" customHeight="1" s="20">
      <c r="A9" s="34" t="inlineStr">
        <is>
          <t>CT-AUTH-006</t>
        </is>
      </c>
      <c r="B9" s="34" t="inlineStr">
        <is>
          <t>Connexion refusée — email inconnu</t>
        </is>
      </c>
      <c r="C9" s="34" t="inlineStr">
        <is>
          <t>Intégration</t>
        </is>
      </c>
      <c r="D9" s="34" t="inlineStr">
        <is>
          <t>Bloquant</t>
        </is>
      </c>
      <c r="E9" s="34" t="inlineStr">
        <is>
          <t>—</t>
        </is>
      </c>
      <c r="F9" s="34" t="inlineStr">
        <is>
          <t>—</t>
        </is>
      </c>
      <c r="G9" s="34" t="inlineStr">
        <is>
          <t>POST /api/auth/login avec email jamais inscrit</t>
        </is>
      </c>
      <c r="H9" s="34" t="inlineStr">
        <is>
          <t>HTTP 401 + même message qu'au CT-AUTH-005</t>
        </is>
      </c>
      <c r="I9" s="34" t="inlineStr">
        <is>
          <t>✅</t>
        </is>
      </c>
      <c r="J9" s="34" t="inlineStr">
        <is>
          <t>À exécuter</t>
        </is>
      </c>
      <c r="K9" s="34" t="n"/>
      <c r="L9" s="34" t="n"/>
      <c r="M9" s="34" t="n"/>
      <c r="N9" s="34" t="n"/>
    </row>
    <row r="10" ht="15" customHeight="1" s="20">
      <c r="A10" s="33" t="inlineStr">
        <is>
          <t>CT-AUTH-007</t>
        </is>
      </c>
      <c r="B10" s="33" t="inlineStr">
        <is>
          <t>Connexion refusée — compte banni</t>
        </is>
      </c>
      <c r="C10" s="33" t="inlineStr">
        <is>
          <t>Intégration</t>
        </is>
      </c>
      <c r="D10" s="33" t="inlineStr">
        <is>
          <t>Haute</t>
        </is>
      </c>
      <c r="E10" s="33" t="inlineStr">
        <is>
          <t>banned@test.com avec isBanned=true</t>
        </is>
      </c>
      <c r="F10" s="33" t="inlineStr">
        <is>
          <t>—</t>
        </is>
      </c>
      <c r="G10" s="33" t="inlineStr">
        <is>
          <t>POST /api/auth/login</t>
        </is>
      </c>
      <c r="H10" s="33" t="inlineStr">
        <is>
          <t>HTTP 403 + body.error contient « suspendu »</t>
        </is>
      </c>
      <c r="I10" s="33" t="inlineStr">
        <is>
          <t>✅</t>
        </is>
      </c>
      <c r="J10" s="33" t="inlineStr">
        <is>
          <t>À exécuter</t>
        </is>
      </c>
      <c r="K10" s="33" t="n"/>
      <c r="L10" s="33" t="n"/>
      <c r="M10" s="33" t="n"/>
      <c r="N10" s="33" t="n"/>
    </row>
    <row r="11" ht="15" customHeight="1" s="20">
      <c r="A11" s="34" t="inlineStr">
        <is>
          <t>CT-AUTH-008</t>
        </is>
      </c>
      <c r="B11" s="34" t="inlineStr">
        <is>
          <t>/api/auth/me sans authentification</t>
        </is>
      </c>
      <c r="C11" s="34" t="inlineStr">
        <is>
          <t>Intégration</t>
        </is>
      </c>
      <c r="D11" s="34" t="inlineStr">
        <is>
          <t>Moyenne</t>
        </is>
      </c>
      <c r="E11" s="34" t="inlineStr">
        <is>
          <t>—</t>
        </is>
      </c>
      <c r="F11" s="34" t="inlineStr">
        <is>
          <t>—</t>
        </is>
      </c>
      <c r="G11" s="34" t="inlineStr">
        <is>
          <t>GET /api/auth/me sans cookie ni Bearer</t>
        </is>
      </c>
      <c r="H11" s="34" t="inlineStr">
        <is>
          <t>HTTP 200 + body = null</t>
        </is>
      </c>
      <c r="I11" s="34" t="inlineStr">
        <is>
          <t>✅</t>
        </is>
      </c>
      <c r="J11" s="34" t="inlineStr">
        <is>
          <t>À exécuter</t>
        </is>
      </c>
      <c r="K11" s="34" t="n"/>
      <c r="L11" s="34" t="n"/>
      <c r="M11" s="34" t="n"/>
      <c r="N11" s="34" t="n"/>
    </row>
    <row r="12" ht="15" customHeight="1" s="20">
      <c r="A12" s="33" t="inlineStr">
        <is>
          <t>CT-AUTH-009</t>
        </is>
      </c>
      <c r="B12" s="33" t="inlineStr">
        <is>
          <t>/api/auth/me avec Bearer valide (mobile)</t>
        </is>
      </c>
      <c r="C12" s="33" t="inlineStr">
        <is>
          <t>Intégration</t>
        </is>
      </c>
      <c r="D12" s="33" t="inlineStr">
        <is>
          <t>Bloquant</t>
        </is>
      </c>
      <c r="E12" s="33" t="inlineStr">
        <is>
          <t>—</t>
        </is>
      </c>
      <c r="F12" s="33" t="inlineStr">
        <is>
          <t>JWT valide</t>
        </is>
      </c>
      <c r="G12" s="33" t="inlineStr">
        <is>
          <t>GET /api/auth/me avec Authorization: Bearer &lt;jwt&gt;</t>
        </is>
      </c>
      <c r="H12" s="33" t="inlineStr">
        <is>
          <t>HTTP 200 + body contient userId, email, role</t>
        </is>
      </c>
      <c r="I12" s="33" t="inlineStr">
        <is>
          <t>✅</t>
        </is>
      </c>
      <c r="J12" s="33" t="inlineStr">
        <is>
          <t>À exécuter</t>
        </is>
      </c>
      <c r="K12" s="33" t="n"/>
      <c r="L12" s="33" t="n"/>
      <c r="M12" s="33" t="n"/>
      <c r="N12" s="33" t="n"/>
    </row>
    <row r="13" ht="20.25" customHeight="1" s="20">
      <c r="A13" s="34" t="inlineStr">
        <is>
          <t>CT-AUTH-010</t>
        </is>
      </c>
      <c r="B13" s="34" t="inlineStr">
        <is>
          <t>/api/auth/me avec Bearer altéré</t>
        </is>
      </c>
      <c r="C13" s="34" t="inlineStr">
        <is>
          <t>Intégration</t>
        </is>
      </c>
      <c r="D13" s="34" t="inlineStr">
        <is>
          <t>Bloquant</t>
        </is>
      </c>
      <c r="E13" s="34" t="inlineStr">
        <is>
          <t>—</t>
        </is>
      </c>
      <c r="F13" s="34" t="inlineStr">
        <is>
          <t>JWT avec signature modifiée</t>
        </is>
      </c>
      <c r="G13" s="34" t="inlineStr">
        <is>
          <t>GET /api/auth/me avec un JWT dont la signature est modifiée</t>
        </is>
      </c>
      <c r="H13" s="34" t="inlineStr">
        <is>
          <t>HTTP 200 + body = null (jose rejette silencieusement)</t>
        </is>
      </c>
      <c r="I13" s="34" t="inlineStr">
        <is>
          <t>✅</t>
        </is>
      </c>
      <c r="J13" s="34" t="inlineStr">
        <is>
          <t>À exécuter</t>
        </is>
      </c>
      <c r="K13" s="34" t="n"/>
      <c r="L13" s="34" t="n"/>
      <c r="M13" s="34" t="n"/>
      <c r="N13" s="34" t="n"/>
    </row>
    <row r="14" ht="15" customHeight="1" s="20">
      <c r="A14" s="33" t="inlineStr">
        <is>
          <t>CT-AUTH-011</t>
        </is>
      </c>
      <c r="B14" s="33" t="inlineStr">
        <is>
          <t>Logout web</t>
        </is>
      </c>
      <c r="C14" s="33" t="inlineStr">
        <is>
          <t>Intégration</t>
        </is>
      </c>
      <c r="D14" s="33" t="inlineStr">
        <is>
          <t>Haute</t>
        </is>
      </c>
      <c r="E14" s="33" t="inlineStr">
        <is>
          <t>Cookie session présent</t>
        </is>
      </c>
      <c r="F14" s="33" t="inlineStr">
        <is>
          <t>—</t>
        </is>
      </c>
      <c r="G14" s="33" t="inlineStr">
        <is>
          <t>POST /api/auth/logout</t>
        </is>
      </c>
      <c r="H14" s="33" t="inlineStr">
        <is>
          <t>HTTP 200 + Set-Cookie supprimant session</t>
        </is>
      </c>
      <c r="I14" s="33" t="inlineStr">
        <is>
          <t>✅</t>
        </is>
      </c>
      <c r="J14" s="33" t="inlineStr">
        <is>
          <t>À exécuter</t>
        </is>
      </c>
      <c r="K14" s="33" t="n"/>
      <c r="L14" s="33" t="n"/>
      <c r="M14" s="33" t="n"/>
      <c r="N14" s="33" t="n"/>
    </row>
    <row r="15" ht="30" customHeight="1" s="20">
      <c r="A15" s="34" t="inlineStr">
        <is>
          <t>CT-AUTH-012</t>
        </is>
      </c>
      <c r="B15" s="34" t="inlineStr">
        <is>
          <t>Logout mobile (best-effort)</t>
        </is>
      </c>
      <c r="C15" s="34" t="inlineStr">
        <is>
          <t>E2E</t>
        </is>
      </c>
      <c r="D15" s="34" t="inlineStr">
        <is>
          <t>Moyenne</t>
        </is>
      </c>
      <c r="E15" s="34" t="inlineStr">
        <is>
          <t>App mobile authentifiée</t>
        </is>
      </c>
      <c r="F15" s="34" t="inlineStr">
        <is>
          <t>—</t>
        </is>
      </c>
      <c r="G15" s="34" t="inlineStr">
        <is>
          <t>App mobile : tap « Se déconnecter »</t>
        </is>
      </c>
      <c r="H15" s="34" t="inlineStr">
        <is>
          <t>• POST /api/auth/logout envoyé
• expo-secure-store ne contient plus cesizen_token
• Redirection vers écran login</t>
        </is>
      </c>
      <c r="I15" s="34" t="inlineStr">
        <is>
          <t>✅ Maestro 06-logout.yaml + Jest AuthContext.test.tsx</t>
        </is>
      </c>
      <c r="J15" s="34" t="inlineStr">
        <is>
          <t>À exécuter</t>
        </is>
      </c>
      <c r="K15" s="34" t="n"/>
      <c r="L15" s="34" t="n"/>
      <c r="M15" s="34" t="n"/>
      <c r="N15" s="34" t="n"/>
    </row>
    <row r="16" ht="15" customHeight="1" s="20">
      <c r="A16" s="33" t="inlineStr">
        <is>
          <t>CT-AUTH-013</t>
        </is>
      </c>
      <c r="B16" s="33" t="inlineStr">
        <is>
          <t>Mot de passe sans majuscule</t>
        </is>
      </c>
      <c r="C16" s="33" t="inlineStr">
        <is>
          <t>Intégration</t>
        </is>
      </c>
      <c r="D16" s="33" t="inlineStr">
        <is>
          <t>Haute</t>
        </is>
      </c>
      <c r="E16" s="33" t="inlineStr">
        <is>
          <t>—</t>
        </is>
      </c>
      <c r="F16" s="33" t="inlineStr">
        <is>
          <t>password=alllower1</t>
        </is>
      </c>
      <c r="G16" s="33" t="inlineStr">
        <is>
          <t>register avec password=alllower1</t>
        </is>
      </c>
      <c r="H16" s="33" t="inlineStr">
        <is>
          <t>HTTP 400 + fieldErrors.password</t>
        </is>
      </c>
      <c r="I16" s="33" t="inlineStr">
        <is>
          <t>✅</t>
        </is>
      </c>
      <c r="J16" s="33" t="inlineStr">
        <is>
          <t>À exécuter</t>
        </is>
      </c>
      <c r="K16" s="33" t="n"/>
      <c r="L16" s="33" t="n"/>
      <c r="M16" s="33" t="n"/>
      <c r="N16" s="33" t="n"/>
    </row>
    <row r="17" ht="15" customHeight="1" s="20">
      <c r="A17" s="34" t="inlineStr">
        <is>
          <t>CT-AUTH-014</t>
        </is>
      </c>
      <c r="B17" s="34" t="inlineStr">
        <is>
          <t>Mot de passe sans chiffre</t>
        </is>
      </c>
      <c r="C17" s="34" t="inlineStr">
        <is>
          <t>Intégration</t>
        </is>
      </c>
      <c r="D17" s="34" t="inlineStr">
        <is>
          <t>Haute</t>
        </is>
      </c>
      <c r="E17" s="34" t="inlineStr">
        <is>
          <t>—</t>
        </is>
      </c>
      <c r="F17" s="34" t="inlineStr">
        <is>
          <t>password=NoDigitsHere</t>
        </is>
      </c>
      <c r="G17" s="34" t="inlineStr">
        <is>
          <t>register avec password=NoDigitsHere</t>
        </is>
      </c>
      <c r="H17" s="34" t="inlineStr">
        <is>
          <t>HTTP 400</t>
        </is>
      </c>
      <c r="I17" s="34" t="inlineStr">
        <is>
          <t>✅</t>
        </is>
      </c>
      <c r="J17" s="34" t="inlineStr">
        <is>
          <t>À exécuter</t>
        </is>
      </c>
      <c r="K17" s="34" t="n"/>
      <c r="L17" s="34" t="n"/>
      <c r="M17" s="34" t="n"/>
      <c r="N17" s="34" t="n"/>
    </row>
    <row r="18" ht="20.25" customHeight="1" s="20">
      <c r="A18" s="33" t="inlineStr">
        <is>
          <t>CT-AUTH-015</t>
        </is>
      </c>
      <c r="B18" s="33" t="inlineStr">
        <is>
          <t>confirmPassword ne correspond pas</t>
        </is>
      </c>
      <c r="C18" s="33" t="inlineStr">
        <is>
          <t>Intégration</t>
        </is>
      </c>
      <c r="D18" s="33" t="inlineStr">
        <is>
          <t>Haute</t>
        </is>
      </c>
      <c r="E18" s="33" t="inlineStr">
        <is>
          <t>—</t>
        </is>
      </c>
      <c r="F18" s="33" t="inlineStr">
        <is>
          <t>password=Password1, confirmPassword=Password2</t>
        </is>
      </c>
      <c r="G18" s="33" t="inlineStr">
        <is>
          <t>register avec mots de passe différents</t>
        </is>
      </c>
      <c r="H18" s="33" t="inlineStr">
        <is>
          <t>HTTP 400 + fieldErrors.confirmPassword</t>
        </is>
      </c>
      <c r="I18" s="33" t="inlineStr">
        <is>
          <t>✅</t>
        </is>
      </c>
      <c r="J18" s="33" t="inlineStr">
        <is>
          <t>À exécuter</t>
        </is>
      </c>
      <c r="K18" s="33" t="n"/>
      <c r="L18" s="33" t="n"/>
      <c r="M18" s="33" t="n"/>
      <c r="N18" s="33" t="n"/>
    </row>
    <row r="19">
      <c r="A19" s="39" t="inlineStr">
        <is>
          <t>CT-AUTH-016</t>
        </is>
      </c>
      <c r="B19" s="39" t="inlineStr">
        <is>
          <t>Fallback cookie quand pas de header Authorization</t>
        </is>
      </c>
      <c r="C19" s="39" t="inlineStr">
        <is>
          <t>Unitaire</t>
        </is>
      </c>
      <c r="D19" s="39" t="inlineStr">
        <is>
          <t>Haute</t>
        </is>
      </c>
      <c r="E19" s="39" t="inlineStr">
        <is>
          <t>Session créée via createSession (cookie posé)</t>
        </is>
      </c>
      <c r="F19" s="39" t="inlineStr">
        <is>
          <t>—</t>
        </is>
      </c>
      <c r="G19" s="39" t="inlineStr">
        <is>
          <t>getSessionFromRequest(req) avec req sans Authorization header</t>
        </is>
      </c>
      <c r="H19" s="39" t="inlineStr">
        <is>
          <t>Session retournée depuis le cookie (userId correct)</t>
        </is>
      </c>
      <c r="I19" s="39" t="inlineStr">
        <is>
          <t>✅ tests/unit/session.test.ts</t>
        </is>
      </c>
      <c r="J19" s="39" t="inlineStr">
        <is>
          <t>À exécuter</t>
        </is>
      </c>
      <c r="K19" s="39" t="n"/>
      <c r="L19" s="39" t="n"/>
      <c r="M19" s="39" t="n"/>
      <c r="N19" s="39" t="n"/>
    </row>
    <row r="20">
      <c r="A20" s="39" t="inlineStr">
        <is>
          <t>CT-AUTH-017</t>
        </is>
      </c>
      <c r="B20" s="39" t="inlineStr">
        <is>
          <t>getSession → null si cookie JWT invalide</t>
        </is>
      </c>
      <c r="C20" s="39" t="inlineStr">
        <is>
          <t>Unitaire</t>
        </is>
      </c>
      <c r="D20" s="39" t="inlineStr">
        <is>
          <t>Haute</t>
        </is>
      </c>
      <c r="E20" s="39" t="inlineStr">
        <is>
          <t>Cookie session posé avec valeur JWT invalide</t>
        </is>
      </c>
      <c r="F20" s="39" t="inlineStr">
        <is>
          <t>cookie='invalid-jwt-token'</t>
        </is>
      </c>
      <c r="G20" s="39" t="inlineStr">
        <is>
          <t>getSession()</t>
        </is>
      </c>
      <c r="H20" s="39" t="inlineStr">
        <is>
          <t>Retourne null (pas d'exception levée)</t>
        </is>
      </c>
      <c r="I20" s="39" t="inlineStr">
        <is>
          <t>✅ tests/unit/session.test.ts</t>
        </is>
      </c>
      <c r="J20" s="39" t="inlineStr">
        <is>
          <t>À exécuter</t>
        </is>
      </c>
      <c r="K20" s="39" t="n"/>
      <c r="L20" s="39" t="n"/>
      <c r="M20" s="39" t="n"/>
      <c r="N20" s="39" t="n"/>
    </row>
  </sheetData>
  <autoFilter ref="A3:N18"/>
  <mergeCells count="1">
    <mergeCell ref="A1:N1"/>
  </mergeCells>
  <conditionalFormatting sqref="D4:D18">
    <cfRule type="cellIs" rank="0" priority="2" equalAverage="0" operator="equal" aboveAverage="0" dxfId="0" text="" percent="0" bottom="0">
      <formula>"Bloquant"</formula>
    </cfRule>
    <cfRule type="cellIs" rank="0" priority="3" equalAverage="0" operator="equal" aboveAverage="0" dxfId="0" text="" percent="0" bottom="0">
      <formula>"Bloquant (sécurité)"</formula>
    </cfRule>
    <cfRule type="cellIs" rank="0" priority="4" equalAverage="0" operator="equal" aboveAverage="0" dxfId="0" text="" percent="0" bottom="0">
      <formula>"Bloquant (RGPD)"</formula>
    </cfRule>
    <cfRule type="cellIs" rank="0" priority="5" equalAverage="0" operator="equal" aboveAverage="0" dxfId="0" text="" percent="0" bottom="0">
      <formula>"Bloquante"</formula>
    </cfRule>
    <cfRule type="cellIs" rank="0" priority="6" equalAverage="0" operator="equal" aboveAverage="0" dxfId="1" text="" percent="0" bottom="0">
      <formula>"Haute"</formula>
    </cfRule>
    <cfRule type="cellIs" rank="0" priority="7" equalAverage="0" operator="equal" aboveAverage="0" dxfId="1" text="" percent="0" bottom="0">
      <formula>"Haute (sécurité)"</formula>
    </cfRule>
    <cfRule type="cellIs" rank="0" priority="8" equalAverage="0" operator="equal" aboveAverage="0" dxfId="1" text="" percent="0" bottom="0">
      <formula>"Majeur"</formula>
    </cfRule>
    <cfRule type="cellIs" rank="0" priority="9" equalAverage="0" operator="equal" aboveAverage="0" dxfId="1" text="" percent="0" bottom="0">
      <formula>"Majeure"</formula>
    </cfRule>
    <cfRule type="cellIs" rank="0" priority="10" equalAverage="0" operator="equal" aboveAverage="0" dxfId="2" text="" percent="0" bottom="0">
      <formula>"Moyenne"</formula>
    </cfRule>
    <cfRule type="cellIs" rank="0" priority="11" equalAverage="0" operator="equal" aboveAverage="0" dxfId="2" text="" percent="0" bottom="0">
      <formula>"Mineur"</formula>
    </cfRule>
    <cfRule type="cellIs" rank="0" priority="12" equalAverage="0" operator="equal" aboveAverage="0" dxfId="2" text="" percent="0" bottom="0">
      <formula>"Mineure"</formula>
    </cfRule>
    <cfRule type="cellIs" rank="0" priority="13" equalAverage="0" operator="equal" aboveAverage="0" dxfId="3" text="" percent="0" bottom="0">
      <formula>"Basse"</formula>
    </cfRule>
    <cfRule type="cellIs" rank="0" priority="14" equalAverage="0" operator="equal" aboveAverage="0" dxfId="3" text="" percent="0" bottom="0">
      <formula>"Cosmétique"</formula>
    </cfRule>
  </conditionalFormatting>
  <conditionalFormatting sqref="J4:J18">
    <cfRule type="cellIs" rank="0" priority="15" equalAverage="0" operator="equal" aboveAverage="0" dxfId="27" text="" percent="0" bottom="0">
      <formula>"OK"</formula>
    </cfRule>
    <cfRule type="cellIs" rank="0" priority="16" equalAverage="0" operator="equal" aboveAverage="0" dxfId="28" text="" percent="0" bottom="0">
      <formula>"KO"</formula>
    </cfRule>
    <cfRule type="cellIs" rank="0" priority="17" equalAverage="0" operator="equal" aboveAverage="0" dxfId="29" text="" percent="0" bottom="0">
      <formula>"Bloqué"</formula>
    </cfRule>
    <cfRule type="cellIs" rank="0" priority="18" equalAverage="0" operator="equal" aboveAverage="0" dxfId="30" text="" percent="0" bottom="0">
      <formula>"N/A"</formula>
    </cfRule>
    <cfRule type="cellIs" rank="0" priority="19" equalAverage="0" operator="equal" aboveAverage="0" dxfId="31" text="" percent="0" bottom="0">
      <formula>"À exécuter"</formula>
    </cfRule>
  </conditionalFormatting>
  <dataValidations count="2">
    <dataValidation sqref="J4:J18" showDropDown="0" showInputMessage="0" showErrorMessage="0" allowBlank="1" errorTitle="Statut invalide" error="Choisir une valeur dans la liste" promptTitle="Statut" prompt="Sélectionnez le statut d'exécution" type="list" errorStyle="stop" operator="between">
      <formula1>"OK,KO,Bloqué,N/A,À exécuter"</formula1>
      <formula2>0</formula2>
    </dataValidation>
    <dataValidation sqref="D4:D18" showDropDown="0" showInputMessage="0" showErrorMessage="0" allowBlank="1" type="list" errorStyle="stop" operator="between">
      <formula1>"Bloquant,Bloquant (sécurité),Bloquant (RGPD),Haute,Haute (sécurité),Moyenne,Basse"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4" customWidth="1" style="19" min="1" max="1"/>
    <col width="40" customWidth="1" style="19" min="2" max="2"/>
    <col width="14" customWidth="1" style="19" min="3" max="3"/>
    <col width="16" customWidth="1" style="19" min="4" max="4"/>
    <col width="30" customWidth="1" style="19" min="5" max="6"/>
    <col width="40" customWidth="1" style="19" min="7" max="7"/>
    <col width="45" customWidth="1" style="19" min="8" max="8"/>
    <col width="25" customWidth="1" style="19" min="9" max="9"/>
    <col width="15" customWidth="1" style="19" min="10" max="10"/>
    <col width="14" customWidth="1" style="19" min="11" max="11"/>
    <col width="18" customWidth="1" style="19" min="12" max="12"/>
    <col width="30" customWidth="1" style="19" min="13" max="13"/>
    <col width="16" customWidth="1" style="19" min="14" max="14"/>
  </cols>
  <sheetData>
    <row r="1" ht="27.75" customHeight="1" s="20">
      <c r="A1" s="21" t="inlineStr">
        <is>
          <t>7. Cas de test — JRN (Journal émotionnel)</t>
        </is>
      </c>
    </row>
    <row r="3" ht="30" customHeight="1" s="20">
      <c r="A3" s="32" t="inlineStr">
        <is>
          <t>ID</t>
        </is>
      </c>
      <c r="B3" s="32" t="inlineStr">
        <is>
          <t>Titre</t>
        </is>
      </c>
      <c r="C3" s="32" t="inlineStr">
        <is>
          <t>Niveau</t>
        </is>
      </c>
      <c r="D3" s="32" t="inlineStr">
        <is>
          <t>Criticité</t>
        </is>
      </c>
      <c r="E3" s="32" t="inlineStr">
        <is>
          <t>Préconditions</t>
        </is>
      </c>
      <c r="F3" s="32" t="inlineStr">
        <is>
          <t>Données</t>
        </is>
      </c>
      <c r="G3" s="32" t="inlineStr">
        <is>
          <t>Étapes</t>
        </is>
      </c>
      <c r="H3" s="32" t="inlineStr">
        <is>
          <t>Résultat attendu</t>
        </is>
      </c>
      <c r="I3" s="32" t="inlineStr">
        <is>
          <t>Automatisé</t>
        </is>
      </c>
      <c r="J3" s="32" t="inlineStr">
        <is>
          <t>Statut</t>
        </is>
      </c>
      <c r="K3" s="32" t="inlineStr">
        <is>
          <t>Date exécution</t>
        </is>
      </c>
      <c r="L3" s="32" t="inlineStr">
        <is>
          <t>Testeur</t>
        </is>
      </c>
      <c r="M3" s="32" t="inlineStr">
        <is>
          <t>Commentaire</t>
        </is>
      </c>
      <c r="N3" s="32" t="inlineStr">
        <is>
          <t>ID anomalie</t>
        </is>
      </c>
    </row>
    <row r="4" ht="20.25" customHeight="1" s="20">
      <c r="A4" s="33" t="inlineStr">
        <is>
          <t>CT-JRN-001</t>
        </is>
      </c>
      <c r="B4" s="33" t="inlineStr">
        <is>
          <t>Création d'une entrée minimale (sans note ni tags)</t>
        </is>
      </c>
      <c r="C4" s="33" t="inlineStr">
        <is>
          <t>Intégration</t>
        </is>
      </c>
      <c r="D4" s="33" t="inlineStr">
        <is>
          <t>Bloquant</t>
        </is>
      </c>
      <c r="E4" s="33" t="inlineStr">
        <is>
          <t>User authentifié, émotion id=1 existe</t>
        </is>
      </c>
      <c r="F4" s="33" t="inlineStr">
        <is>
          <t>{ emotionId: 1, intensity: 5 }</t>
        </is>
      </c>
      <c r="G4" s="33" t="inlineStr">
        <is>
          <t>POST /api/entries</t>
        </is>
      </c>
      <c r="H4" s="33" t="inlineStr">
        <is>
          <t>HTTP 200 + ligne entries créée avec userId, emotionId, intensity, noteEncrypted=null, contextTags=[]</t>
        </is>
      </c>
      <c r="I4" s="33" t="inlineStr">
        <is>
          <t>✅</t>
        </is>
      </c>
      <c r="J4" s="33" t="inlineStr">
        <is>
          <t>À exécuter</t>
        </is>
      </c>
      <c r="K4" s="33" t="n"/>
      <c r="L4" s="33" t="n"/>
      <c r="M4" s="33" t="n"/>
      <c r="N4" s="33" t="n"/>
    </row>
    <row r="5" ht="39.75" customHeight="1" s="20">
      <c r="A5" s="34" t="inlineStr">
        <is>
          <t>CT-JRN-002</t>
        </is>
      </c>
      <c r="B5" s="34" t="inlineStr">
        <is>
          <t>Création d'une entrée complète (note + tags)</t>
        </is>
      </c>
      <c r="C5" s="34" t="inlineStr">
        <is>
          <t>Intégration</t>
        </is>
      </c>
      <c r="D5" s="34" t="inlineStr">
        <is>
          <t>Bloquant</t>
        </is>
      </c>
      <c r="E5" s="34" t="inlineStr">
        <is>
          <t>User authentifié</t>
        </is>
      </c>
      <c r="F5" s="34" t="inlineStr">
        <is>
          <t>emotionId=1, intensity=7, note='Ma note privée', contextTags=['travail','sommeil']</t>
        </is>
      </c>
      <c r="G5" s="34" t="inlineStr">
        <is>
          <t>POST /api/entries</t>
        </is>
      </c>
      <c r="H5" s="34" t="inlineStr">
        <is>
          <t>• HTTP 200
• En DB : noteEncrypted au format iv:tag:cipher (pas en clair)
• contextTags = tableau des 2 tags</t>
        </is>
      </c>
      <c r="I5" s="34" t="inlineStr">
        <is>
          <t>✅</t>
        </is>
      </c>
      <c r="J5" s="34" t="inlineStr">
        <is>
          <t>À exécuter</t>
        </is>
      </c>
      <c r="K5" s="34" t="n"/>
      <c r="L5" s="34" t="n"/>
      <c r="M5" s="34" t="n"/>
      <c r="N5" s="34" t="n"/>
    </row>
    <row r="6" ht="30" customHeight="1" s="20">
      <c r="A6" s="33" t="inlineStr">
        <is>
          <t>CT-JRN-003</t>
        </is>
      </c>
      <c r="B6" s="33" t="inlineStr">
        <is>
          <t>Lecture des entrées (note déchiffrée)</t>
        </is>
      </c>
      <c r="C6" s="33" t="inlineStr">
        <is>
          <t>Intégration</t>
        </is>
      </c>
      <c r="D6" s="33" t="inlineStr">
        <is>
          <t>Bloquant</t>
        </is>
      </c>
      <c r="E6" s="33" t="inlineStr">
        <is>
          <t>Suite à CT-JRN-002</t>
        </is>
      </c>
      <c r="F6" s="33" t="inlineStr">
        <is>
          <t>—</t>
        </is>
      </c>
      <c r="G6" s="33" t="inlineStr">
        <is>
          <t>GET /api/entries</t>
        </is>
      </c>
      <c r="H6" s="33" t="inlineStr">
        <is>
          <t>• HTTP 200
• body[0].note === 'Ma note privée' (déchiffré)
• body[0].noteEncrypted === undefined (strippé)</t>
        </is>
      </c>
      <c r="I6" s="33" t="inlineStr">
        <is>
          <t>✅</t>
        </is>
      </c>
      <c r="J6" s="33" t="inlineStr">
        <is>
          <t>À exécuter</t>
        </is>
      </c>
      <c r="K6" s="33" t="n"/>
      <c r="L6" s="33" t="n"/>
      <c r="M6" s="33" t="n"/>
      <c r="N6" s="33" t="n"/>
    </row>
    <row r="7" ht="15" customHeight="1" s="20">
      <c r="A7" s="34" t="inlineStr">
        <is>
          <t>CT-JRN-004</t>
        </is>
      </c>
      <c r="B7" s="34" t="inlineStr">
        <is>
          <t>Lecture filtrée par dates</t>
        </is>
      </c>
      <c r="C7" s="34" t="inlineStr">
        <is>
          <t>Intégration</t>
        </is>
      </c>
      <c r="D7" s="34" t="inlineStr">
        <is>
          <t>Haute</t>
        </is>
      </c>
      <c r="E7" s="34" t="inlineStr">
        <is>
          <t>Plusieurs entrées en base</t>
        </is>
      </c>
      <c r="F7" s="34" t="inlineStr">
        <is>
          <t>startDate, endDate</t>
        </is>
      </c>
      <c r="G7" s="34" t="inlineStr">
        <is>
          <t>GET /api/entries?startDate=...&amp;endDate=...</t>
        </is>
      </c>
      <c r="H7" s="34" t="inlineStr">
        <is>
          <t>Seules les entrées dans la fenêtre sont retournées</t>
        </is>
      </c>
      <c r="I7" s="34" t="inlineStr">
        <is>
          <t>✅</t>
        </is>
      </c>
      <c r="J7" s="34" t="inlineStr">
        <is>
          <t>À exécuter</t>
        </is>
      </c>
      <c r="K7" s="34" t="n"/>
      <c r="L7" s="34" t="n"/>
      <c r="M7" s="34" t="n"/>
      <c r="N7" s="34" t="n"/>
    </row>
    <row r="8" ht="20.25" customHeight="1" s="20">
      <c r="A8" s="33" t="inlineStr">
        <is>
          <t>CT-JRN-005</t>
        </is>
      </c>
      <c r="B8" s="33" t="inlineStr">
        <is>
          <t>Note stockée chiffrée en DB</t>
        </is>
      </c>
      <c r="C8" s="33" t="inlineStr">
        <is>
          <t>Intégration</t>
        </is>
      </c>
      <c r="D8" s="33" t="inlineStr">
        <is>
          <t>Bloquant (sécurité)</t>
        </is>
      </c>
      <c r="E8" s="33" t="inlineStr">
        <is>
          <t>—</t>
        </is>
      </c>
      <c r="F8" s="33" t="inlineStr">
        <is>
          <t>note='secret'</t>
        </is>
      </c>
      <c r="G8" s="33" t="inlineStr">
        <is>
          <t>• Créer entrée avec note 'secret'
• Lire entries.note_encrypted directement en SQL</t>
        </is>
      </c>
      <c r="H8" s="33" t="inlineStr">
        <is>
          <t>• Pas de 'secret' en clair
• Format iv:tag:cipher (3 parties hex séparées par :)</t>
        </is>
      </c>
      <c r="I8" s="33" t="inlineStr">
        <is>
          <t>✅ via encryption.test.ts + entries.test.ts</t>
        </is>
      </c>
      <c r="J8" s="33" t="inlineStr">
        <is>
          <t>À exécuter</t>
        </is>
      </c>
      <c r="K8" s="33" t="n"/>
      <c r="L8" s="33" t="n"/>
      <c r="M8" s="33" t="n"/>
      <c r="N8" s="33" t="n"/>
    </row>
    <row r="9" ht="15" customHeight="1" s="20">
      <c r="A9" s="34" t="inlineStr">
        <is>
          <t>CT-JRN-006</t>
        </is>
      </c>
      <c r="B9" s="34" t="inlineStr">
        <is>
          <t>Intensité &lt; 1 rejetée</t>
        </is>
      </c>
      <c r="C9" s="34" t="inlineStr">
        <is>
          <t>Intégration</t>
        </is>
      </c>
      <c r="D9" s="34" t="inlineStr">
        <is>
          <t>Haute</t>
        </is>
      </c>
      <c r="E9" s="34" t="inlineStr">
        <is>
          <t>—</t>
        </is>
      </c>
      <c r="F9" s="34" t="inlineStr">
        <is>
          <t>{ emotionId: 1, intensity: 0 }</t>
        </is>
      </c>
      <c r="G9" s="34" t="inlineStr">
        <is>
          <t>POST /api/entries</t>
        </is>
      </c>
      <c r="H9" s="34" t="inlineStr">
        <is>
          <t>HTTP 400 + fieldErrors.intensity</t>
        </is>
      </c>
      <c r="I9" s="34" t="inlineStr">
        <is>
          <t>✅</t>
        </is>
      </c>
      <c r="J9" s="34" t="inlineStr">
        <is>
          <t>À exécuter</t>
        </is>
      </c>
      <c r="K9" s="34" t="n"/>
      <c r="L9" s="34" t="n"/>
      <c r="M9" s="34" t="n"/>
      <c r="N9" s="34" t="n"/>
    </row>
    <row r="10" ht="15" customHeight="1" s="20">
      <c r="A10" s="33" t="inlineStr">
        <is>
          <t>CT-JRN-007</t>
        </is>
      </c>
      <c r="B10" s="33" t="inlineStr">
        <is>
          <t>Intensité &gt; 10 rejetée</t>
        </is>
      </c>
      <c r="C10" s="33" t="inlineStr">
        <is>
          <t>Intégration</t>
        </is>
      </c>
      <c r="D10" s="33" t="inlineStr">
        <is>
          <t>Haute</t>
        </is>
      </c>
      <c r="E10" s="33" t="inlineStr">
        <is>
          <t>—</t>
        </is>
      </c>
      <c r="F10" s="33" t="inlineStr">
        <is>
          <t>{ emotionId: 1, intensity: 99 }</t>
        </is>
      </c>
      <c r="G10" s="33" t="inlineStr">
        <is>
          <t>POST /api/entries</t>
        </is>
      </c>
      <c r="H10" s="33" t="inlineStr">
        <is>
          <t>HTTP 400</t>
        </is>
      </c>
      <c r="I10" s="33" t="inlineStr">
        <is>
          <t>✅</t>
        </is>
      </c>
      <c r="J10" s="33" t="inlineStr">
        <is>
          <t>À exécuter</t>
        </is>
      </c>
      <c r="K10" s="33" t="n"/>
      <c r="L10" s="33" t="n"/>
      <c r="M10" s="33" t="n"/>
      <c r="N10" s="33" t="n"/>
    </row>
    <row r="11" ht="15" customHeight="1" s="20">
      <c r="A11" s="34" t="inlineStr">
        <is>
          <t>CT-JRN-008</t>
        </is>
      </c>
      <c r="B11" s="34" t="inlineStr">
        <is>
          <t>Note &gt; 2000 caractères rejetée</t>
        </is>
      </c>
      <c r="C11" s="34" t="inlineStr">
        <is>
          <t>Intégration</t>
        </is>
      </c>
      <c r="D11" s="34" t="inlineStr">
        <is>
          <t>Moyenne</t>
        </is>
      </c>
      <c r="E11" s="34" t="inlineStr">
        <is>
          <t>—</t>
        </is>
      </c>
      <c r="F11" s="34" t="inlineStr">
        <is>
          <t>note = 'x'.repeat(2001)</t>
        </is>
      </c>
      <c r="G11" s="34" t="inlineStr">
        <is>
          <t>POST /api/entries</t>
        </is>
      </c>
      <c r="H11" s="34" t="inlineStr">
        <is>
          <t>HTTP 400 + fieldErrors.note</t>
        </is>
      </c>
      <c r="I11" s="34" t="inlineStr">
        <is>
          <t>✅</t>
        </is>
      </c>
      <c r="J11" s="34" t="inlineStr">
        <is>
          <t>À exécuter</t>
        </is>
      </c>
      <c r="K11" s="34" t="n"/>
      <c r="L11" s="34" t="n"/>
      <c r="M11" s="34" t="n"/>
      <c r="N11" s="34" t="n"/>
    </row>
    <row r="12" ht="20.25" customHeight="1" s="20">
      <c r="A12" s="33" t="inlineStr">
        <is>
          <t>CT-JRN-009</t>
        </is>
      </c>
      <c r="B12" s="33" t="inlineStr">
        <is>
          <t>Ownership : un user ne voit pas les entrées d'un autre</t>
        </is>
      </c>
      <c r="C12" s="33" t="inlineStr">
        <is>
          <t>Intégration</t>
        </is>
      </c>
      <c r="D12" s="33" t="inlineStr">
        <is>
          <t>Bloquant (sécurité)</t>
        </is>
      </c>
      <c r="E12" s="33" t="inlineStr">
        <is>
          <t>userA a 1 entrée, userB authentifié</t>
        </is>
      </c>
      <c r="F12" s="33" t="inlineStr">
        <is>
          <t>—</t>
        </is>
      </c>
      <c r="G12" s="33" t="inlineStr">
        <is>
          <t>GET /api/entries avec token de userB</t>
        </is>
      </c>
      <c r="H12" s="33" t="inlineStr">
        <is>
          <t>body = [] (pas d'entrée de userA)</t>
        </is>
      </c>
      <c r="I12" s="33" t="inlineStr">
        <is>
          <t>✅</t>
        </is>
      </c>
      <c r="J12" s="33" t="inlineStr">
        <is>
          <t>À exécuter</t>
        </is>
      </c>
      <c r="K12" s="33" t="n"/>
      <c r="L12" s="33" t="n"/>
      <c r="M12" s="33" t="n"/>
      <c r="N12" s="33" t="n"/>
    </row>
    <row r="13" ht="15" customHeight="1" s="20">
      <c r="A13" s="34" t="inlineStr">
        <is>
          <t>CT-JRN-010</t>
        </is>
      </c>
      <c r="B13" s="34" t="inlineStr">
        <is>
          <t>Ownership : GET d'une entrée d'un autre user → 404</t>
        </is>
      </c>
      <c r="C13" s="34" t="inlineStr">
        <is>
          <t>Intégration</t>
        </is>
      </c>
      <c r="D13" s="34" t="inlineStr">
        <is>
          <t>Bloquant (sécurité)</t>
        </is>
      </c>
      <c r="E13" s="34" t="inlineStr">
        <is>
          <t>Entrée existante de userA</t>
        </is>
      </c>
      <c r="F13" s="34" t="inlineStr">
        <is>
          <t>id de l'entrée userA</t>
        </is>
      </c>
      <c r="G13" s="34" t="inlineStr">
        <is>
          <t>GET /api/entries/[idDeUserA] avec token de userB</t>
        </is>
      </c>
      <c r="H13" s="34" t="inlineStr">
        <is>
          <t>HTTP 404 (pas 403, pour ne pas révéler l'existence)</t>
        </is>
      </c>
      <c r="I13" s="34" t="inlineStr">
        <is>
          <t>✅</t>
        </is>
      </c>
      <c r="J13" s="34" t="inlineStr">
        <is>
          <t>À exécuter</t>
        </is>
      </c>
      <c r="K13" s="34" t="n"/>
      <c r="L13" s="34" t="n"/>
      <c r="M13" s="34" t="n"/>
      <c r="N13" s="34" t="n"/>
    </row>
    <row r="14" ht="15" customHeight="1" s="20">
      <c r="A14" s="33" t="inlineStr">
        <is>
          <t>CT-JRN-011</t>
        </is>
      </c>
      <c r="B14" s="33" t="inlineStr">
        <is>
          <t>Édition d'une entrée</t>
        </is>
      </c>
      <c r="C14" s="33" t="inlineStr">
        <is>
          <t>Intégration</t>
        </is>
      </c>
      <c r="D14" s="33" t="inlineStr">
        <is>
          <t>Haute</t>
        </is>
      </c>
      <c r="E14" s="33" t="inlineStr">
        <is>
          <t>Entrée existante du user</t>
        </is>
      </c>
      <c r="F14" s="33" t="inlineStr">
        <is>
          <t>Nouvelles valeurs</t>
        </is>
      </c>
      <c r="G14" s="33" t="inlineStr">
        <is>
          <t>PUT /api/entries/[id] avec nouvelles valeurs</t>
        </is>
      </c>
      <c r="H14" s="33" t="inlineStr">
        <is>
          <t>HTTP 200 + entrée modifiée + noteEncrypted ré-encrypté</t>
        </is>
      </c>
      <c r="I14" s="33" t="inlineStr">
        <is>
          <t>✅</t>
        </is>
      </c>
      <c r="J14" s="33" t="inlineStr">
        <is>
          <t>À exécuter</t>
        </is>
      </c>
      <c r="K14" s="33" t="n"/>
      <c r="L14" s="33" t="n"/>
      <c r="M14" s="33" t="n"/>
      <c r="N14" s="33" t="n"/>
    </row>
    <row r="15" ht="15" customHeight="1" s="20">
      <c r="A15" s="34" t="inlineStr">
        <is>
          <t>CT-JRN-012</t>
        </is>
      </c>
      <c r="B15" s="34" t="inlineStr">
        <is>
          <t>Édition d'une entrée d'un autre user → 404</t>
        </is>
      </c>
      <c r="C15" s="34" t="inlineStr">
        <is>
          <t>Intégration</t>
        </is>
      </c>
      <c r="D15" s="34" t="inlineStr">
        <is>
          <t>Bloquant (sécurité)</t>
        </is>
      </c>
      <c r="E15" s="34" t="inlineStr">
        <is>
          <t>Entrée existante de userA</t>
        </is>
      </c>
      <c r="F15" s="34" t="inlineStr">
        <is>
          <t>—</t>
        </is>
      </c>
      <c r="G15" s="34" t="inlineStr">
        <is>
          <t>PUT /api/entries/[idDeUserA] avec token de userB</t>
        </is>
      </c>
      <c r="H15" s="34" t="inlineStr">
        <is>
          <t>HTTP 404, aucune modification en DB</t>
        </is>
      </c>
      <c r="I15" s="34" t="inlineStr">
        <is>
          <t>✅</t>
        </is>
      </c>
      <c r="J15" s="34" t="inlineStr">
        <is>
          <t>À exécuter</t>
        </is>
      </c>
      <c r="K15" s="34" t="n"/>
      <c r="L15" s="34" t="n"/>
      <c r="M15" s="34" t="n"/>
      <c r="N15" s="34" t="n"/>
    </row>
    <row r="16" ht="15" customHeight="1" s="20">
      <c r="A16" s="33" t="inlineStr">
        <is>
          <t>CT-JRN-013</t>
        </is>
      </c>
      <c r="B16" s="33" t="inlineStr">
        <is>
          <t>Suppression d'une entrée</t>
        </is>
      </c>
      <c r="C16" s="33" t="inlineStr">
        <is>
          <t>Intégration</t>
        </is>
      </c>
      <c r="D16" s="33" t="inlineStr">
        <is>
          <t>Haute</t>
        </is>
      </c>
      <c r="E16" s="33" t="inlineStr">
        <is>
          <t>Entrée existante</t>
        </is>
      </c>
      <c r="F16" s="33" t="inlineStr">
        <is>
          <t>—</t>
        </is>
      </c>
      <c r="G16" s="33" t="inlineStr">
        <is>
          <t>DELETE /api/entries/[id]</t>
        </is>
      </c>
      <c r="H16" s="33" t="inlineStr">
        <is>
          <t>HTTP 200 + ligne supprimée</t>
        </is>
      </c>
      <c r="I16" s="33" t="inlineStr">
        <is>
          <t>✅</t>
        </is>
      </c>
      <c r="J16" s="33" t="inlineStr">
        <is>
          <t>À exécuter</t>
        </is>
      </c>
      <c r="K16" s="33" t="n"/>
      <c r="L16" s="33" t="n"/>
      <c r="M16" s="33" t="n"/>
      <c r="N16" s="33" t="n"/>
    </row>
    <row r="17" ht="15" customHeight="1" s="20">
      <c r="A17" s="34" t="inlineStr">
        <is>
          <t>CT-JRN-014</t>
        </is>
      </c>
      <c r="B17" s="34" t="inlineStr">
        <is>
          <t>Suppression idempotente (entrée déjà supprimée)</t>
        </is>
      </c>
      <c r="C17" s="34" t="inlineStr">
        <is>
          <t>Intégration</t>
        </is>
      </c>
      <c r="D17" s="34" t="inlineStr">
        <is>
          <t>Basse</t>
        </is>
      </c>
      <c r="E17" s="34" t="inlineStr">
        <is>
          <t>—</t>
        </is>
      </c>
      <c r="F17" s="34" t="inlineStr">
        <is>
          <t>—</t>
        </is>
      </c>
      <c r="G17" s="34" t="inlineStr">
        <is>
          <t>DELETE 2 fois la même entrée</t>
        </is>
      </c>
      <c r="H17" s="34" t="inlineStr">
        <is>
          <t>Les 2 retournent 200 (clause WHERE userId = session)</t>
        </is>
      </c>
      <c r="I17" s="34" t="inlineStr">
        <is>
          <t>Optionnel</t>
        </is>
      </c>
      <c r="J17" s="34" t="inlineStr">
        <is>
          <t>À exécuter</t>
        </is>
      </c>
      <c r="K17" s="34" t="n"/>
      <c r="L17" s="34" t="n"/>
      <c r="M17" s="34" t="n"/>
      <c r="N17" s="34" t="n"/>
    </row>
    <row r="18" ht="15" customHeight="1" s="20">
      <c r="A18" s="33" t="inlineStr">
        <is>
          <t>CT-JRN-015</t>
        </is>
      </c>
      <c r="B18" s="33" t="inlineStr">
        <is>
          <t>Création requiert authentification</t>
        </is>
      </c>
      <c r="C18" s="33" t="inlineStr">
        <is>
          <t>Intégration</t>
        </is>
      </c>
      <c r="D18" s="33" t="inlineStr">
        <is>
          <t>Bloquant</t>
        </is>
      </c>
      <c r="E18" s="33" t="inlineStr">
        <is>
          <t>—</t>
        </is>
      </c>
      <c r="F18" s="33" t="inlineStr">
        <is>
          <t>—</t>
        </is>
      </c>
      <c r="G18" s="33" t="inlineStr">
        <is>
          <t>POST /api/entries sans token ni cookie</t>
        </is>
      </c>
      <c r="H18" s="33" t="inlineStr">
        <is>
          <t>HTTP 401</t>
        </is>
      </c>
      <c r="I18" s="33" t="inlineStr">
        <is>
          <t>✅</t>
        </is>
      </c>
      <c r="J18" s="33" t="inlineStr">
        <is>
          <t>À exécuter</t>
        </is>
      </c>
      <c r="K18" s="33" t="n"/>
      <c r="L18" s="33" t="n"/>
      <c r="M18" s="33" t="n"/>
      <c r="N18" s="33" t="n"/>
    </row>
    <row r="19" ht="15" customHeight="1" s="20">
      <c r="A19" s="34" t="inlineStr">
        <is>
          <t>CT-JRN-016</t>
        </is>
      </c>
      <c r="B19" s="34" t="inlineStr">
        <is>
          <t>emotionId inexistant rejeté</t>
        </is>
      </c>
      <c r="C19" s="34" t="inlineStr">
        <is>
          <t>Intégration</t>
        </is>
      </c>
      <c r="D19" s="34" t="inlineStr">
        <is>
          <t>Moyenne</t>
        </is>
      </c>
      <c r="E19" s="34" t="inlineStr">
        <is>
          <t>—</t>
        </is>
      </c>
      <c r="F19" s="34" t="inlineStr">
        <is>
          <t>{ emotionId: 99999, intensity: 5 }</t>
        </is>
      </c>
      <c r="G19" s="34" t="inlineStr">
        <is>
          <t>POST /api/entries</t>
        </is>
      </c>
      <c r="H19" s="34" t="inlineStr">
        <is>
          <t>HTTP 500 (FK violation) ou 400 si validation amont</t>
        </is>
      </c>
      <c r="I19" s="34" t="inlineStr">
        <is>
          <t>À ajouter</t>
        </is>
      </c>
      <c r="J19" s="34" t="inlineStr">
        <is>
          <t>À exécuter</t>
        </is>
      </c>
      <c r="K19" s="34" t="n"/>
      <c r="L19" s="34" t="n"/>
      <c r="M19" s="34" t="n"/>
      <c r="N19" s="34" t="n"/>
    </row>
    <row r="20" ht="59.25" customHeight="1" s="20">
      <c r="A20" s="33" t="inlineStr">
        <is>
          <t>CT-JRN-017</t>
        </is>
      </c>
      <c r="B20" s="33" t="inlineStr">
        <is>
          <t>Web : ajout d'émotion via flow guidé</t>
        </is>
      </c>
      <c r="C20" s="33" t="inlineStr">
        <is>
          <t>E2E</t>
        </is>
      </c>
      <c r="D20" s="33" t="inlineStr">
        <is>
          <t>Bloquant</t>
        </is>
      </c>
      <c r="E20" s="33" t="inlineStr">
        <is>
          <t>User connecté</t>
        </is>
      </c>
      <c r="F20" s="33" t="inlineStr">
        <is>
          <t>—</t>
        </is>
      </c>
      <c r="G20" s="33" t="inlineStr">
        <is>
          <t>• Login
• Cliquer 'Ajouter une émotion'
• Choisir catégorie → émotion
• Régler intensité
• Saisir note
• Enregistrer</t>
        </is>
      </c>
      <c r="H20" s="33" t="inlineStr">
        <is>
          <t>• Toast de succès
• Carte 'Météo du jour' mise à jour
• Liste 'Entrées récentes' affiche la nouvelle entrée</t>
        </is>
      </c>
      <c r="I20" s="33" t="inlineStr">
        <is>
          <t>Manuel + e2e/journal.spec.ts partiel</t>
        </is>
      </c>
      <c r="J20" s="33" t="inlineStr">
        <is>
          <t>À exécuter</t>
        </is>
      </c>
      <c r="K20" s="33" t="n"/>
      <c r="L20" s="33" t="n"/>
      <c r="M20" s="33" t="n"/>
      <c r="N20" s="33" t="n"/>
    </row>
    <row r="21" ht="20.25" customHeight="1" s="20">
      <c r="A21" s="34" t="inlineStr">
        <is>
          <t>CT-JRN-018</t>
        </is>
      </c>
      <c r="B21" s="34" t="inlineStr">
        <is>
          <t>Web : édition depuis le calendrier</t>
        </is>
      </c>
      <c r="C21" s="34" t="inlineStr">
        <is>
          <t>Manuel</t>
        </is>
      </c>
      <c r="D21" s="34" t="inlineStr">
        <is>
          <t>Haute</t>
        </is>
      </c>
      <c r="E21" s="34" t="inlineStr">
        <is>
          <t>Une entrée existante</t>
        </is>
      </c>
      <c r="F21" s="34" t="inlineStr">
        <is>
          <t>—</t>
        </is>
      </c>
      <c r="G21" s="34" t="inlineStr">
        <is>
          <t>Dashboard → Journal → cliquer sur une date → modifier intensité → sauver</t>
        </is>
      </c>
      <c r="H21" s="34" t="inlineStr">
        <is>
          <t>Mise à jour reflétée immédiatement</t>
        </is>
      </c>
      <c r="I21" s="34" t="inlineStr">
        <is>
          <t>Non</t>
        </is>
      </c>
      <c r="J21" s="34" t="inlineStr">
        <is>
          <t>À exécuter</t>
        </is>
      </c>
      <c r="K21" s="34" t="n"/>
      <c r="L21" s="34" t="n"/>
      <c r="M21" s="34" t="n"/>
      <c r="N21" s="34" t="n"/>
    </row>
    <row r="22" ht="20.25" customHeight="1" s="20">
      <c r="A22" s="33" t="inlineStr">
        <is>
          <t>CT-JRN-019</t>
        </is>
      </c>
      <c r="B22" s="33" t="inlineStr">
        <is>
          <t>Mobile : ajout via FAB</t>
        </is>
      </c>
      <c r="C22" s="33" t="inlineStr">
        <is>
          <t>E2E Maestro</t>
        </is>
      </c>
      <c r="D22" s="33" t="inlineStr">
        <is>
          <t>Bloquant</t>
        </is>
      </c>
      <c r="E22" s="33" t="inlineStr">
        <is>
          <t>App authentifiée</t>
        </is>
      </c>
      <c r="F22" s="33" t="inlineStr">
        <is>
          <t>—</t>
        </is>
      </c>
      <c r="G22" s="33" t="inlineStr">
        <is>
          <t>Onglet Journal → FAB + → choisir émotion → enregistrer</t>
        </is>
      </c>
      <c r="H22" s="33" t="inlineStr">
        <is>
          <t>Retour journal, entrée présente</t>
        </is>
      </c>
      <c r="I22" s="33" t="inlineStr">
        <is>
          <t>✅ mobile/.maestro/flows/03-add-entry.yaml</t>
        </is>
      </c>
      <c r="J22" s="33" t="inlineStr">
        <is>
          <t>À exécuter</t>
        </is>
      </c>
      <c r="K22" s="33" t="n"/>
      <c r="L22" s="33" t="n"/>
      <c r="M22" s="33" t="n"/>
      <c r="N22" s="33" t="n"/>
    </row>
    <row r="23" ht="20.25" customHeight="1" s="20">
      <c r="A23" s="34" t="inlineStr">
        <is>
          <t>CT-JRN-020</t>
        </is>
      </c>
      <c r="B23" s="34" t="inlineStr">
        <is>
          <t>Mobile : édition + suppression</t>
        </is>
      </c>
      <c r="C23" s="34" t="inlineStr">
        <is>
          <t>Manuel</t>
        </is>
      </c>
      <c r="D23" s="34" t="inlineStr">
        <is>
          <t>Haute</t>
        </is>
      </c>
      <c r="E23" s="34" t="inlineStr">
        <is>
          <t>Une entrée existante</t>
        </is>
      </c>
      <c r="F23" s="34" t="inlineStr">
        <is>
          <t>—</t>
        </is>
      </c>
      <c r="G23" s="34" t="inlineStr">
        <is>
          <t>Tap entrée → modifier → sauver, puis supprimer avec alert</t>
        </is>
      </c>
      <c r="H23" s="34" t="inlineStr">
        <is>
          <t>Modification persistée puis entrée disparaît</t>
        </is>
      </c>
      <c r="I23" s="34" t="inlineStr">
        <is>
          <t>Manuel</t>
        </is>
      </c>
      <c r="J23" s="34" t="inlineStr">
        <is>
          <t>À exécuter</t>
        </is>
      </c>
      <c r="K23" s="34" t="n"/>
      <c r="L23" s="34" t="n"/>
      <c r="M23" s="34" t="n"/>
      <c r="N23" s="34" t="n"/>
    </row>
    <row r="24">
      <c r="A24" s="40" t="inlineStr">
        <is>
          <t>CT-JRN-021</t>
        </is>
      </c>
      <c r="B24" s="40" t="inlineStr">
        <is>
          <t>GET entrée sans note → note retournée null</t>
        </is>
      </c>
      <c r="C24" s="40" t="inlineStr">
        <is>
          <t>Intégration</t>
        </is>
      </c>
      <c r="D24" s="40" t="inlineStr">
        <is>
          <t>Moyenne</t>
        </is>
      </c>
      <c r="E24" s="40" t="inlineStr">
        <is>
          <t>User authentifié, entrée créée sans note</t>
        </is>
      </c>
      <c r="F24" s="40" t="inlineStr">
        <is>
          <t>{ emotionId: 1, intensity: 4 }</t>
        </is>
      </c>
      <c r="G24" s="40" t="inlineStr">
        <is>
          <t>POST /api/entries puis GET /api/entries/[id]</t>
        </is>
      </c>
      <c r="H24" s="40" t="inlineStr">
        <is>
          <t>body.note === null</t>
        </is>
      </c>
      <c r="I24" s="40" t="inlineStr">
        <is>
          <t>✅ tests/integration/entries.test.ts</t>
        </is>
      </c>
      <c r="J24" s="40" t="inlineStr">
        <is>
          <t>À exécuter</t>
        </is>
      </c>
      <c r="K24" s="40" t="n"/>
      <c r="L24" s="40" t="n"/>
      <c r="M24" s="40" t="n"/>
      <c r="N24" s="40" t="n"/>
    </row>
    <row r="25">
      <c r="A25" s="40" t="inlineStr">
        <is>
          <t>CT-JRN-022</t>
        </is>
      </c>
      <c r="B25" s="40" t="inlineStr">
        <is>
          <t>PUT sans note → efface la note existante</t>
        </is>
      </c>
      <c r="C25" s="40" t="inlineStr">
        <is>
          <t>Intégration</t>
        </is>
      </c>
      <c r="D25" s="40" t="inlineStr">
        <is>
          <t>Moyenne</t>
        </is>
      </c>
      <c r="E25" s="40" t="inlineStr">
        <is>
          <t>Entrée existante avec note</t>
        </is>
      </c>
      <c r="F25" s="40" t="inlineStr">
        <is>
          <t>body sans champ note</t>
        </is>
      </c>
      <c r="G25" s="40" t="inlineStr">
        <is>
          <t>PUT /api/entries/[id] (body sans note)</t>
        </is>
      </c>
      <c r="H25" s="40" t="inlineStr">
        <is>
          <t>HTTP 200 — note mise à null</t>
        </is>
      </c>
      <c r="I25" s="40" t="inlineStr">
        <is>
          <t>✅ tests/integration/entries.test.ts</t>
        </is>
      </c>
      <c r="J25" s="40" t="inlineStr">
        <is>
          <t>À exécuter</t>
        </is>
      </c>
      <c r="K25" s="40" t="n"/>
      <c r="L25" s="40" t="n"/>
      <c r="M25" s="40" t="n"/>
      <c r="N25" s="40" t="n"/>
    </row>
    <row r="26">
      <c r="A26" s="40" t="inlineStr">
        <is>
          <t>CT-JRN-023</t>
        </is>
      </c>
      <c r="B26" s="40" t="inlineStr">
        <is>
          <t>POST /api/entries → 401 sans token</t>
        </is>
      </c>
      <c r="C26" s="40" t="inlineStr">
        <is>
          <t>Intégration</t>
        </is>
      </c>
      <c r="D26" s="40" t="inlineStr">
        <is>
          <t>Bloquant</t>
        </is>
      </c>
      <c r="E26" s="40" t="inlineStr">
        <is>
          <t>Aucune session</t>
        </is>
      </c>
      <c r="F26" s="40" t="inlineStr">
        <is>
          <t>{ emotionId: 1, intensity: 5 }</t>
        </is>
      </c>
      <c r="G26" s="40" t="inlineStr">
        <is>
          <t>POST /api/entries sans Authorization</t>
        </is>
      </c>
      <c r="H26" s="40" t="inlineStr">
        <is>
          <t>HTTP 401</t>
        </is>
      </c>
      <c r="I26" s="40" t="inlineStr">
        <is>
          <t>✅ tests/integration/entries.test.ts</t>
        </is>
      </c>
      <c r="J26" s="40" t="inlineStr">
        <is>
          <t>À exécuter</t>
        </is>
      </c>
      <c r="K26" s="40" t="n"/>
      <c r="L26" s="40" t="n"/>
      <c r="M26" s="40" t="n"/>
      <c r="N26" s="40" t="n"/>
    </row>
    <row r="27">
      <c r="A27" s="40" t="inlineStr">
        <is>
          <t>CT-JRN-024</t>
        </is>
      </c>
      <c r="B27" s="40" t="inlineStr">
        <is>
          <t>GET /api/entries/[id] → 401 sans token</t>
        </is>
      </c>
      <c r="C27" s="40" t="inlineStr">
        <is>
          <t>Intégration</t>
        </is>
      </c>
      <c r="D27" s="40" t="inlineStr">
        <is>
          <t>Bloquant</t>
        </is>
      </c>
      <c r="E27" s="40" t="inlineStr">
        <is>
          <t>Aucune session</t>
        </is>
      </c>
      <c r="F27" s="40" t="inlineStr">
        <is>
          <t>—</t>
        </is>
      </c>
      <c r="G27" s="40" t="inlineStr">
        <is>
          <t>GET /api/entries/some-id sans Authorization</t>
        </is>
      </c>
      <c r="H27" s="40" t="inlineStr">
        <is>
          <t>HTTP 401</t>
        </is>
      </c>
      <c r="I27" s="40" t="inlineStr">
        <is>
          <t>✅ tests/integration/entries.test.ts</t>
        </is>
      </c>
      <c r="J27" s="40" t="inlineStr">
        <is>
          <t>À exécuter</t>
        </is>
      </c>
      <c r="K27" s="40" t="n"/>
      <c r="L27" s="40" t="n"/>
      <c r="M27" s="40" t="n"/>
      <c r="N27" s="40" t="n"/>
    </row>
    <row r="28">
      <c r="A28" s="40" t="inlineStr">
        <is>
          <t>CT-JRN-025</t>
        </is>
      </c>
      <c r="B28" s="40" t="inlineStr">
        <is>
          <t>PUT /api/entries/[id] → 401 sans token</t>
        </is>
      </c>
      <c r="C28" s="40" t="inlineStr">
        <is>
          <t>Intégration</t>
        </is>
      </c>
      <c r="D28" s="40" t="inlineStr">
        <is>
          <t>Bloquant</t>
        </is>
      </c>
      <c r="E28" s="40" t="inlineStr">
        <is>
          <t>Aucune session</t>
        </is>
      </c>
      <c r="F28" s="40" t="inlineStr">
        <is>
          <t>—</t>
        </is>
      </c>
      <c r="G28" s="40" t="inlineStr">
        <is>
          <t>PUT /api/entries/some-id sans Authorization</t>
        </is>
      </c>
      <c r="H28" s="40" t="inlineStr">
        <is>
          <t>HTTP 401</t>
        </is>
      </c>
      <c r="I28" s="40" t="inlineStr">
        <is>
          <t>✅ tests/integration/entries.test.ts</t>
        </is>
      </c>
      <c r="J28" s="40" t="inlineStr">
        <is>
          <t>À exécuter</t>
        </is>
      </c>
      <c r="K28" s="40" t="n"/>
      <c r="L28" s="40" t="n"/>
      <c r="M28" s="40" t="n"/>
      <c r="N28" s="40" t="n"/>
    </row>
    <row r="29">
      <c r="A29" s="40" t="inlineStr">
        <is>
          <t>CT-JRN-026</t>
        </is>
      </c>
      <c r="B29" s="40" t="inlineStr">
        <is>
          <t>DELETE /api/entries/[id] → 401 sans token</t>
        </is>
      </c>
      <c r="C29" s="40" t="inlineStr">
        <is>
          <t>Intégration</t>
        </is>
      </c>
      <c r="D29" s="40" t="inlineStr">
        <is>
          <t>Bloquant</t>
        </is>
      </c>
      <c r="E29" s="40" t="inlineStr">
        <is>
          <t>Aucune session</t>
        </is>
      </c>
      <c r="F29" s="40" t="inlineStr">
        <is>
          <t>—</t>
        </is>
      </c>
      <c r="G29" s="40" t="inlineStr">
        <is>
          <t>DELETE /api/entries/some-id sans Authorization</t>
        </is>
      </c>
      <c r="H29" s="40" t="inlineStr">
        <is>
          <t>HTTP 401</t>
        </is>
      </c>
      <c r="I29" s="40" t="inlineStr">
        <is>
          <t>✅ tests/integration/entries.test.ts</t>
        </is>
      </c>
      <c r="J29" s="40" t="inlineStr">
        <is>
          <t>À exécuter</t>
        </is>
      </c>
      <c r="K29" s="40" t="n"/>
      <c r="L29" s="40" t="n"/>
      <c r="M29" s="40" t="n"/>
      <c r="N29" s="40" t="n"/>
    </row>
    <row r="30">
      <c r="A30" s="40" t="inlineStr">
        <is>
          <t>CT-JRN-027</t>
        </is>
      </c>
      <c r="B30" s="40" t="inlineStr">
        <is>
          <t>PUT /api/entries/[id] → 400 validation (intensity hors plage)</t>
        </is>
      </c>
      <c r="C30" s="40" t="inlineStr">
        <is>
          <t>Intégration</t>
        </is>
      </c>
      <c r="D30" s="40" t="inlineStr">
        <is>
          <t>Haute</t>
        </is>
      </c>
      <c r="E30" s="40" t="inlineStr">
        <is>
          <t>User authentifié, entrée existante</t>
        </is>
      </c>
      <c r="F30" s="40" t="inlineStr">
        <is>
          <t>{ emotionId: 1, intensity: 99 }</t>
        </is>
      </c>
      <c r="G30" s="40" t="inlineStr">
        <is>
          <t>PUT /api/entries/[id]</t>
        </is>
      </c>
      <c r="H30" s="40" t="inlineStr">
        <is>
          <t>HTTP 400</t>
        </is>
      </c>
      <c r="I30" s="40" t="inlineStr">
        <is>
          <t>✅ tests/integration/entries.test.ts</t>
        </is>
      </c>
      <c r="J30" s="40" t="inlineStr">
        <is>
          <t>À exécuter</t>
        </is>
      </c>
      <c r="K30" s="40" t="n"/>
      <c r="L30" s="40" t="n"/>
      <c r="M30" s="40" t="n"/>
      <c r="N30" s="40" t="n"/>
    </row>
  </sheetData>
  <autoFilter ref="A3:N23"/>
  <mergeCells count="1">
    <mergeCell ref="A1:N1"/>
  </mergeCells>
  <conditionalFormatting sqref="D4:D23">
    <cfRule type="cellIs" rank="0" priority="2" equalAverage="0" operator="equal" aboveAverage="0" dxfId="0" text="" percent="0" bottom="0">
      <formula>"Bloquant"</formula>
    </cfRule>
    <cfRule type="cellIs" rank="0" priority="3" equalAverage="0" operator="equal" aboveAverage="0" dxfId="0" text="" percent="0" bottom="0">
      <formula>"Bloquant (sécurité)"</formula>
    </cfRule>
    <cfRule type="cellIs" rank="0" priority="4" equalAverage="0" operator="equal" aboveAverage="0" dxfId="0" text="" percent="0" bottom="0">
      <formula>"Bloquant (RGPD)"</formula>
    </cfRule>
    <cfRule type="cellIs" rank="0" priority="5" equalAverage="0" operator="equal" aboveAverage="0" dxfId="0" text="" percent="0" bottom="0">
      <formula>"Bloquante"</formula>
    </cfRule>
    <cfRule type="cellIs" rank="0" priority="6" equalAverage="0" operator="equal" aboveAverage="0" dxfId="1" text="" percent="0" bottom="0">
      <formula>"Haute"</formula>
    </cfRule>
    <cfRule type="cellIs" rank="0" priority="7" equalAverage="0" operator="equal" aboveAverage="0" dxfId="1" text="" percent="0" bottom="0">
      <formula>"Haute (sécurité)"</formula>
    </cfRule>
    <cfRule type="cellIs" rank="0" priority="8" equalAverage="0" operator="equal" aboveAverage="0" dxfId="1" text="" percent="0" bottom="0">
      <formula>"Majeur"</formula>
    </cfRule>
    <cfRule type="cellIs" rank="0" priority="9" equalAverage="0" operator="equal" aboveAverage="0" dxfId="1" text="" percent="0" bottom="0">
      <formula>"Majeure"</formula>
    </cfRule>
    <cfRule type="cellIs" rank="0" priority="10" equalAverage="0" operator="equal" aboveAverage="0" dxfId="2" text="" percent="0" bottom="0">
      <formula>"Moyenne"</formula>
    </cfRule>
    <cfRule type="cellIs" rank="0" priority="11" equalAverage="0" operator="equal" aboveAverage="0" dxfId="2" text="" percent="0" bottom="0">
      <formula>"Mineur"</formula>
    </cfRule>
    <cfRule type="cellIs" rank="0" priority="12" equalAverage="0" operator="equal" aboveAverage="0" dxfId="2" text="" percent="0" bottom="0">
      <formula>"Mineure"</formula>
    </cfRule>
    <cfRule type="cellIs" rank="0" priority="13" equalAverage="0" operator="equal" aboveAverage="0" dxfId="3" text="" percent="0" bottom="0">
      <formula>"Basse"</formula>
    </cfRule>
    <cfRule type="cellIs" rank="0" priority="14" equalAverage="0" operator="equal" aboveAverage="0" dxfId="3" text="" percent="0" bottom="0">
      <formula>"Cosmétique"</formula>
    </cfRule>
  </conditionalFormatting>
  <conditionalFormatting sqref="J4:J23">
    <cfRule type="cellIs" rank="0" priority="15" equalAverage="0" operator="equal" aboveAverage="0" dxfId="27" text="" percent="0" bottom="0">
      <formula>"OK"</formula>
    </cfRule>
    <cfRule type="cellIs" rank="0" priority="16" equalAverage="0" operator="equal" aboveAverage="0" dxfId="28" text="" percent="0" bottom="0">
      <formula>"KO"</formula>
    </cfRule>
    <cfRule type="cellIs" rank="0" priority="17" equalAverage="0" operator="equal" aboveAverage="0" dxfId="29" text="" percent="0" bottom="0">
      <formula>"Bloqué"</formula>
    </cfRule>
    <cfRule type="cellIs" rank="0" priority="18" equalAverage="0" operator="equal" aboveAverage="0" dxfId="30" text="" percent="0" bottom="0">
      <formula>"N/A"</formula>
    </cfRule>
    <cfRule type="cellIs" rank="0" priority="19" equalAverage="0" operator="equal" aboveAverage="0" dxfId="31" text="" percent="0" bottom="0">
      <formula>"À exécuter"</formula>
    </cfRule>
  </conditionalFormatting>
  <dataValidations count="2">
    <dataValidation sqref="J4:J23" showDropDown="0" showInputMessage="0" showErrorMessage="0" allowBlank="1" errorTitle="Statut invalide" error="Choisir une valeur dans la liste" promptTitle="Statut" prompt="Sélectionnez le statut d'exécution" type="list" errorStyle="stop" operator="between">
      <formula1>"OK,KO,Bloqué,N/A,À exécuter"</formula1>
      <formula2>0</formula2>
    </dataValidation>
    <dataValidation sqref="D4:D23" showDropDown="0" showInputMessage="0" showErrorMessage="0" allowBlank="1" type="list" errorStyle="stop" operator="between">
      <formula1>"Bloquant,Bloquant (sécurité),Bloquant (RGPD),Haute,Haute (sécurité),Moyenne,Basse"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4" customWidth="1" style="19" min="1" max="1"/>
    <col width="40" customWidth="1" style="19" min="2" max="2"/>
    <col width="14" customWidth="1" style="19" min="3" max="3"/>
    <col width="16" customWidth="1" style="19" min="4" max="4"/>
    <col width="30" customWidth="1" style="19" min="5" max="6"/>
    <col width="40" customWidth="1" style="19" min="7" max="7"/>
    <col width="45" customWidth="1" style="19" min="8" max="8"/>
    <col width="25" customWidth="1" style="19" min="9" max="9"/>
    <col width="15" customWidth="1" style="19" min="10" max="10"/>
    <col width="14" customWidth="1" style="19" min="11" max="11"/>
    <col width="18" customWidth="1" style="19" min="12" max="12"/>
    <col width="30" customWidth="1" style="19" min="13" max="13"/>
    <col width="16" customWidth="1" style="19" min="14" max="14"/>
  </cols>
  <sheetData>
    <row r="1" ht="27.75" customHeight="1" s="20">
      <c r="A1" s="21" t="inlineStr">
        <is>
          <t>8. Cas de test — STAT (Statistiques)</t>
        </is>
      </c>
    </row>
    <row r="3" ht="30" customHeight="1" s="20">
      <c r="A3" s="32" t="inlineStr">
        <is>
          <t>ID</t>
        </is>
      </c>
      <c r="B3" s="32" t="inlineStr">
        <is>
          <t>Titre</t>
        </is>
      </c>
      <c r="C3" s="32" t="inlineStr">
        <is>
          <t>Niveau</t>
        </is>
      </c>
      <c r="D3" s="32" t="inlineStr">
        <is>
          <t>Criticité</t>
        </is>
      </c>
      <c r="E3" s="32" t="inlineStr">
        <is>
          <t>Préconditions</t>
        </is>
      </c>
      <c r="F3" s="32" t="inlineStr">
        <is>
          <t>Données</t>
        </is>
      </c>
      <c r="G3" s="32" t="inlineStr">
        <is>
          <t>Étapes</t>
        </is>
      </c>
      <c r="H3" s="32" t="inlineStr">
        <is>
          <t>Résultat attendu</t>
        </is>
      </c>
      <c r="I3" s="32" t="inlineStr">
        <is>
          <t>Automatisé</t>
        </is>
      </c>
      <c r="J3" s="32" t="inlineStr">
        <is>
          <t>Statut</t>
        </is>
      </c>
      <c r="K3" s="32" t="inlineStr">
        <is>
          <t>Date exécution</t>
        </is>
      </c>
      <c r="L3" s="32" t="inlineStr">
        <is>
          <t>Testeur</t>
        </is>
      </c>
      <c r="M3" s="32" t="inlineStr">
        <is>
          <t>Commentaire</t>
        </is>
      </c>
      <c r="N3" s="32" t="inlineStr">
        <is>
          <t>ID anomalie</t>
        </is>
      </c>
    </row>
    <row r="4" ht="20.25" customHeight="1" s="20">
      <c r="A4" s="33" t="inlineStr">
        <is>
          <t>CT-STAT-001</t>
        </is>
      </c>
      <c r="B4" s="33" t="inlineStr">
        <is>
          <t>Stats vides (0 entrée)</t>
        </is>
      </c>
      <c r="C4" s="33" t="inlineStr">
        <is>
          <t>Intégration</t>
        </is>
      </c>
      <c r="D4" s="33" t="inlineStr">
        <is>
          <t>Moyenne</t>
        </is>
      </c>
      <c r="E4" s="33" t="inlineStr">
        <is>
          <t>User sans entrée</t>
        </is>
      </c>
      <c r="F4" s="33" t="inlineStr">
        <is>
          <t>—</t>
        </is>
      </c>
      <c r="G4" s="33" t="inlineStr">
        <is>
          <t>GET /api/entries/stats</t>
        </is>
      </c>
      <c r="H4" s="33" t="inlineStr">
        <is>
          <t>totalEntries=0, dailyAverages=[], recentEntries=[] (pas d'erreur)</t>
        </is>
      </c>
      <c r="I4" s="33" t="inlineStr">
        <is>
          <t>À ajouter</t>
        </is>
      </c>
      <c r="J4" s="33" t="inlineStr">
        <is>
          <t>À exécuter</t>
        </is>
      </c>
      <c r="K4" s="33" t="n"/>
      <c r="L4" s="33" t="n"/>
      <c r="M4" s="33" t="n"/>
      <c r="N4" s="33" t="n"/>
    </row>
    <row r="5" ht="15" customHeight="1" s="20">
      <c r="A5" s="34" t="inlineStr">
        <is>
          <t>CT-STAT-002</t>
        </is>
      </c>
      <c r="B5" s="34" t="inlineStr">
        <is>
          <t>Stats nominales sur 30 jours</t>
        </is>
      </c>
      <c r="C5" s="34" t="inlineStr">
        <is>
          <t>Intégration</t>
        </is>
      </c>
      <c r="D5" s="34" t="inlineStr">
        <is>
          <t>Haute</t>
        </is>
      </c>
      <c r="E5" s="34" t="inlineStr">
        <is>
          <t>3 entrées dans les 30 jours</t>
        </is>
      </c>
      <c r="F5" s="34" t="inlineStr">
        <is>
          <t>—</t>
        </is>
      </c>
      <c r="G5" s="34" t="inlineStr">
        <is>
          <t>GET /api/entries/stats</t>
        </is>
      </c>
      <c r="H5" s="34" t="inlineStr">
        <is>
          <t>totalEntries=3, dailyAverages avec moyenne par jour</t>
        </is>
      </c>
      <c r="I5" s="34" t="inlineStr">
        <is>
          <t>✅</t>
        </is>
      </c>
      <c r="J5" s="34" t="inlineStr">
        <is>
          <t>À exécuter</t>
        </is>
      </c>
      <c r="K5" s="34" t="n"/>
      <c r="L5" s="34" t="n"/>
      <c r="M5" s="34" t="n"/>
      <c r="N5" s="34" t="n"/>
    </row>
    <row r="6" ht="15" customHeight="1" s="20">
      <c r="A6" s="33" t="inlineStr">
        <is>
          <t>CT-STAT-003</t>
        </is>
      </c>
      <c r="B6" s="33" t="inlineStr">
        <is>
          <t>detailed-stats sans bornes → 400</t>
        </is>
      </c>
      <c r="C6" s="33" t="inlineStr">
        <is>
          <t>Intégration</t>
        </is>
      </c>
      <c r="D6" s="33" t="inlineStr">
        <is>
          <t>Moyenne</t>
        </is>
      </c>
      <c r="E6" s="33" t="inlineStr">
        <is>
          <t>—</t>
        </is>
      </c>
      <c r="F6" s="33" t="inlineStr">
        <is>
          <t>—</t>
        </is>
      </c>
      <c r="G6" s="33" t="inlineStr">
        <is>
          <t>GET /api/entries/detailed-stats sans paramètres</t>
        </is>
      </c>
      <c r="H6" s="33" t="inlineStr">
        <is>
          <t>HTTP 400</t>
        </is>
      </c>
      <c r="I6" s="33" t="inlineStr">
        <is>
          <t>✅</t>
        </is>
      </c>
      <c r="J6" s="33" t="inlineStr">
        <is>
          <t>À exécuter</t>
        </is>
      </c>
      <c r="K6" s="33" t="n"/>
      <c r="L6" s="33" t="n"/>
      <c r="M6" s="33" t="n"/>
      <c r="N6" s="33" t="n"/>
    </row>
    <row r="7" ht="69" customHeight="1" s="20">
      <c r="A7" s="34" t="inlineStr">
        <is>
          <t>CT-STAT-004</t>
        </is>
      </c>
      <c r="B7" s="34" t="inlineStr">
        <is>
          <t>detailed-stats — agrégats complets</t>
        </is>
      </c>
      <c r="C7" s="34" t="inlineStr">
        <is>
          <t>Intégration</t>
        </is>
      </c>
      <c r="D7" s="34" t="inlineStr">
        <is>
          <t>Haute</t>
        </is>
      </c>
      <c r="E7" s="34" t="inlineStr">
        <is>
          <t>Historique d'entrées</t>
        </is>
      </c>
      <c r="F7" s="34" t="inlineStr">
        <is>
          <t>startDate, endDate</t>
        </is>
      </c>
      <c r="G7" s="34" t="inlineStr">
        <is>
          <t>GET /api/entries/detailed-stats?startDate=...&amp;endDate=...</t>
        </is>
      </c>
      <c r="H7" s="34" t="inlineStr">
        <is>
          <t>• totalEntries, averageIntensity
• mostFrequentEmotion / Category
• emotionDistribution[] et categoryDistribution[]
• dailyAverages[]
• weekdayDistribution[7], hourDistribution[24]
• streakDays
• contextTagsDistribution[]</t>
        </is>
      </c>
      <c r="I7" s="34" t="inlineStr">
        <is>
          <t>✅</t>
        </is>
      </c>
      <c r="J7" s="34" t="inlineStr">
        <is>
          <t>À exécuter</t>
        </is>
      </c>
      <c r="K7" s="34" t="n"/>
      <c r="L7" s="34" t="n"/>
      <c r="M7" s="34" t="n"/>
      <c r="N7" s="34" t="n"/>
    </row>
    <row r="8" ht="30" customHeight="1" s="20">
      <c r="A8" s="33" t="inlineStr">
        <is>
          <t>CT-STAT-005</t>
        </is>
      </c>
      <c r="B8" s="33" t="inlineStr">
        <is>
          <t>Streak de jours consécutifs</t>
        </is>
      </c>
      <c r="C8" s="33" t="inlineStr">
        <is>
          <t>Intégration</t>
        </is>
      </c>
      <c r="D8" s="33" t="inlineStr">
        <is>
          <t>Moyenne</t>
        </is>
      </c>
      <c r="E8" s="33" t="inlineStr">
        <is>
          <t>3 entrées sur 3 jours consécutifs, puis trou de 5 jours, puis 2 entrées sur 2 jours</t>
        </is>
      </c>
      <c r="F8" s="33" t="inlineStr">
        <is>
          <t>—</t>
        </is>
      </c>
      <c r="G8" s="33" t="inlineStr">
        <is>
          <t>GET /api/entries/detailed-stats</t>
        </is>
      </c>
      <c r="H8" s="33" t="inlineStr">
        <is>
          <t>streakDays = 3 (max)</t>
        </is>
      </c>
      <c r="I8" s="33" t="inlineStr">
        <is>
          <t>✅ tests/integration/entries.test.ts</t>
        </is>
      </c>
      <c r="J8" s="33" t="inlineStr">
        <is>
          <t>À exécuter</t>
        </is>
      </c>
      <c r="K8" s="33" t="n"/>
      <c r="L8" s="33" t="n"/>
      <c r="M8" s="33" t="n"/>
      <c r="N8" s="33" t="n"/>
    </row>
    <row r="9" ht="15" customHeight="1" s="20">
      <c r="A9" s="34" t="inlineStr">
        <is>
          <t>CT-STAT-006</t>
        </is>
      </c>
      <c r="B9" s="34" t="inlineStr">
        <is>
          <t>Distribution par jour de la semaine</t>
        </is>
      </c>
      <c r="C9" s="34" t="inlineStr">
        <is>
          <t>Intégration</t>
        </is>
      </c>
      <c r="D9" s="34" t="inlineStr">
        <is>
          <t>Moyenne</t>
        </is>
      </c>
      <c r="E9" s="34" t="inlineStr">
        <is>
          <t>—</t>
        </is>
      </c>
      <c r="F9" s="34" t="inlineStr">
        <is>
          <t>5 entrées un lundi</t>
        </is>
      </c>
      <c r="G9" s="34" t="inlineStr">
        <is>
          <t>Créer 5 entrées un lundi puis GET stats</t>
        </is>
      </c>
      <c r="H9" s="34" t="inlineStr">
        <is>
          <t>weekdayDistribution[1].count = 5, percentage = 100</t>
        </is>
      </c>
      <c r="I9" s="34" t="inlineStr">
        <is>
          <t>À ajouter</t>
        </is>
      </c>
      <c r="J9" s="34" t="inlineStr">
        <is>
          <t>À exécuter</t>
        </is>
      </c>
      <c r="K9" s="34" t="n"/>
      <c r="L9" s="34" t="n"/>
      <c r="M9" s="34" t="n"/>
      <c r="N9" s="34" t="n"/>
    </row>
    <row r="10" ht="20.25" customHeight="1" s="20">
      <c r="A10" s="33" t="inlineStr">
        <is>
          <t>CT-STAT-007</t>
        </is>
      </c>
      <c r="B10" s="33" t="inlineStr">
        <is>
          <t>Web : sélecteur de période</t>
        </is>
      </c>
      <c r="C10" s="33" t="inlineStr">
        <is>
          <t>E2E</t>
        </is>
      </c>
      <c r="D10" s="33" t="inlineStr">
        <is>
          <t>Haute</t>
        </is>
      </c>
      <c r="E10" s="33" t="inlineStr">
        <is>
          <t>Compte avec historique</t>
        </is>
      </c>
      <c r="F10" s="33" t="inlineStr">
        <is>
          <t>—</t>
        </is>
      </c>
      <c r="G10" s="33" t="inlineStr">
        <is>
          <t>/dashboard/statistiques → cliquer 'Cette semaine' puis 'Mois dernier'</t>
        </is>
      </c>
      <c r="H10" s="33" t="inlineStr">
        <is>
          <t>Refetch + KPI mis à jour</t>
        </is>
      </c>
      <c r="I10" s="33" t="inlineStr">
        <is>
          <t>Manuel</t>
        </is>
      </c>
      <c r="J10" s="33" t="inlineStr">
        <is>
          <t>À exécuter</t>
        </is>
      </c>
      <c r="K10" s="33" t="n"/>
      <c r="L10" s="33" t="n"/>
      <c r="M10" s="33" t="n"/>
      <c r="N10" s="33" t="n"/>
    </row>
    <row r="11" ht="15" customHeight="1" s="20">
      <c r="A11" s="34" t="inlineStr">
        <is>
          <t>CT-STAT-008</t>
        </is>
      </c>
      <c r="B11" s="34" t="inlineStr">
        <is>
          <t>Mobile : bascule 7j / 30j / 90j</t>
        </is>
      </c>
      <c r="C11" s="34" t="inlineStr">
        <is>
          <t>E2E Maestro</t>
        </is>
      </c>
      <c r="D11" s="34" t="inlineStr">
        <is>
          <t>Haute</t>
        </is>
      </c>
      <c r="E11" s="34" t="inlineStr">
        <is>
          <t>Compte avec historique</t>
        </is>
      </c>
      <c r="F11" s="34" t="inlineStr">
        <is>
          <t>—</t>
        </is>
      </c>
      <c r="G11" s="34" t="inlineStr">
        <is>
          <t>Onglet Stats → switch périodes</t>
        </is>
      </c>
      <c r="H11" s="34" t="inlineStr">
        <is>
          <t>Données cohérentes selon période</t>
        </is>
      </c>
      <c r="I11" s="34" t="inlineStr">
        <is>
          <t>✅ 05-statistiques.yaml</t>
        </is>
      </c>
      <c r="J11" s="34" t="inlineStr">
        <is>
          <t>À exécuter</t>
        </is>
      </c>
      <c r="K11" s="34" t="n"/>
      <c r="L11" s="34" t="n"/>
      <c r="M11" s="34" t="n"/>
      <c r="N11" s="34" t="n"/>
    </row>
    <row r="12">
      <c r="A12" s="40" t="inlineStr">
        <is>
          <t>CT-STAT-009</t>
        </is>
      </c>
      <c r="B12" s="40" t="inlineStr">
        <is>
          <t>detailed-stats → résultat vide hors de la plage</t>
        </is>
      </c>
      <c r="C12" s="40" t="inlineStr">
        <is>
          <t>Intégration</t>
        </is>
      </c>
      <c r="D12" s="40" t="inlineStr">
        <is>
          <t>Moyenne</t>
        </is>
      </c>
      <c r="E12" s="40" t="inlineStr">
        <is>
          <t>User authentifié, entrées existantes hors plage</t>
        </is>
      </c>
      <c r="F12" s="40" t="inlineStr">
        <is>
          <t>startDate=2000-01-01, endDate=2000-01-02</t>
        </is>
      </c>
      <c r="G12" s="40" t="inlineStr">
        <is>
          <t>GET /api/entries/detailed-stats?startDate=...&amp;endDate=...</t>
        </is>
      </c>
      <c r="H12" s="40" t="inlineStr">
        <is>
          <t>HTTP 200 — totalEntries=0, streakDays=0</t>
        </is>
      </c>
      <c r="I12" s="40" t="inlineStr">
        <is>
          <t>✅ tests/integration/entries.test.ts</t>
        </is>
      </c>
      <c r="J12" s="40" t="inlineStr">
        <is>
          <t>À exécuter</t>
        </is>
      </c>
      <c r="K12" s="40" t="n"/>
      <c r="L12" s="40" t="n"/>
      <c r="M12" s="40" t="n"/>
      <c r="N12" s="40" t="n"/>
    </row>
    <row r="13">
      <c r="A13" s="40" t="inlineStr">
        <is>
          <t>CT-STAT-010</t>
        </is>
      </c>
      <c r="B13" s="40" t="inlineStr">
        <is>
          <t>GET /api/entries/stats → 401 sans token</t>
        </is>
      </c>
      <c r="C13" s="40" t="inlineStr">
        <is>
          <t>Intégration</t>
        </is>
      </c>
      <c r="D13" s="40" t="inlineStr">
        <is>
          <t>Bloquant</t>
        </is>
      </c>
      <c r="E13" s="40" t="inlineStr">
        <is>
          <t>Aucune session</t>
        </is>
      </c>
      <c r="F13" s="40" t="inlineStr">
        <is>
          <t>—</t>
        </is>
      </c>
      <c r="G13" s="40" t="inlineStr">
        <is>
          <t>GET /api/entries/stats sans Authorization</t>
        </is>
      </c>
      <c r="H13" s="40" t="inlineStr">
        <is>
          <t>HTTP 401</t>
        </is>
      </c>
      <c r="I13" s="40" t="inlineStr">
        <is>
          <t>✅ tests/integration/entries.test.ts</t>
        </is>
      </c>
      <c r="J13" s="40" t="inlineStr">
        <is>
          <t>À exécuter</t>
        </is>
      </c>
      <c r="K13" s="40" t="n"/>
      <c r="L13" s="40" t="n"/>
      <c r="M13" s="40" t="n"/>
      <c r="N13" s="40" t="n"/>
    </row>
    <row r="14">
      <c r="A14" s="40" t="inlineStr">
        <is>
          <t>CT-STAT-011</t>
        </is>
      </c>
      <c r="B14" s="40" t="inlineStr">
        <is>
          <t>GET /api/entries/detailed-stats → 401 sans token</t>
        </is>
      </c>
      <c r="C14" s="40" t="inlineStr">
        <is>
          <t>Intégration</t>
        </is>
      </c>
      <c r="D14" s="40" t="inlineStr">
        <is>
          <t>Bloquant</t>
        </is>
      </c>
      <c r="E14" s="40" t="inlineStr">
        <is>
          <t>Aucune session</t>
        </is>
      </c>
      <c r="F14" s="40" t="inlineStr">
        <is>
          <t>—</t>
        </is>
      </c>
      <c r="G14" s="40" t="inlineStr">
        <is>
          <t>GET /api/entries/detailed-stats sans Authorization</t>
        </is>
      </c>
      <c r="H14" s="40" t="inlineStr">
        <is>
          <t>HTTP 401</t>
        </is>
      </c>
      <c r="I14" s="40" t="inlineStr">
        <is>
          <t>✅ tests/integration/entries.test.ts</t>
        </is>
      </c>
      <c r="J14" s="40" t="inlineStr">
        <is>
          <t>À exécuter</t>
        </is>
      </c>
      <c r="K14" s="40" t="n"/>
      <c r="L14" s="40" t="n"/>
      <c r="M14" s="40" t="n"/>
      <c r="N14" s="40" t="n"/>
    </row>
    <row r="15">
      <c r="A15" s="40" t="inlineStr">
        <is>
          <t>CT-STAT-012</t>
        </is>
      </c>
      <c r="B15" s="40" t="inlineStr">
        <is>
          <t>Streak calculé sur jours consécutifs et non-consécutifs</t>
        </is>
      </c>
      <c r="C15" s="40" t="inlineStr">
        <is>
          <t>Intégration</t>
        </is>
      </c>
      <c r="D15" s="40" t="inlineStr">
        <is>
          <t>Moyenne</t>
        </is>
      </c>
      <c r="E15" s="40" t="inlineStr">
        <is>
          <t>Entrées aux jours J1, J2, J4 (gap J3)</t>
        </is>
      </c>
      <c r="F15" s="40" t="inlineStr">
        <is>
          <t>entries: 2024-06-01, 2024-06-02, 2024-06-04</t>
        </is>
      </c>
      <c r="G15" s="40" t="inlineStr">
        <is>
          <t>GET /api/entries/detailed-stats sur la plage</t>
        </is>
      </c>
      <c r="H15" s="40" t="inlineStr">
        <is>
          <t>totalEntries=3, streakDays &gt;= 2</t>
        </is>
      </c>
      <c r="I15" s="40" t="inlineStr">
        <is>
          <t>✅ tests/integration/entries.test.ts</t>
        </is>
      </c>
      <c r="J15" s="40" t="inlineStr">
        <is>
          <t>À exécuter</t>
        </is>
      </c>
      <c r="K15" s="40" t="n"/>
      <c r="L15" s="40" t="n"/>
      <c r="M15" s="40" t="n"/>
      <c r="N15" s="40" t="n"/>
    </row>
  </sheetData>
  <autoFilter ref="A3:N11"/>
  <mergeCells count="1">
    <mergeCell ref="A1:N1"/>
  </mergeCells>
  <conditionalFormatting sqref="D4:D11">
    <cfRule type="cellIs" rank="0" priority="2" equalAverage="0" operator="equal" aboveAverage="0" dxfId="0" text="" percent="0" bottom="0">
      <formula>"Bloquant"</formula>
    </cfRule>
    <cfRule type="cellIs" rank="0" priority="3" equalAverage="0" operator="equal" aboveAverage="0" dxfId="0" text="" percent="0" bottom="0">
      <formula>"Bloquant (sécurité)"</formula>
    </cfRule>
    <cfRule type="cellIs" rank="0" priority="4" equalAverage="0" operator="equal" aboveAverage="0" dxfId="0" text="" percent="0" bottom="0">
      <formula>"Bloquant (RGPD)"</formula>
    </cfRule>
    <cfRule type="cellIs" rank="0" priority="5" equalAverage="0" operator="equal" aboveAverage="0" dxfId="0" text="" percent="0" bottom="0">
      <formula>"Bloquante"</formula>
    </cfRule>
    <cfRule type="cellIs" rank="0" priority="6" equalAverage="0" operator="equal" aboveAverage="0" dxfId="1" text="" percent="0" bottom="0">
      <formula>"Haute"</formula>
    </cfRule>
    <cfRule type="cellIs" rank="0" priority="7" equalAverage="0" operator="equal" aboveAverage="0" dxfId="1" text="" percent="0" bottom="0">
      <formula>"Haute (sécurité)"</formula>
    </cfRule>
    <cfRule type="cellIs" rank="0" priority="8" equalAverage="0" operator="equal" aboveAverage="0" dxfId="1" text="" percent="0" bottom="0">
      <formula>"Majeur"</formula>
    </cfRule>
    <cfRule type="cellIs" rank="0" priority="9" equalAverage="0" operator="equal" aboveAverage="0" dxfId="1" text="" percent="0" bottom="0">
      <formula>"Majeure"</formula>
    </cfRule>
    <cfRule type="cellIs" rank="0" priority="10" equalAverage="0" operator="equal" aboveAverage="0" dxfId="2" text="" percent="0" bottom="0">
      <formula>"Moyenne"</formula>
    </cfRule>
    <cfRule type="cellIs" rank="0" priority="11" equalAverage="0" operator="equal" aboveAverage="0" dxfId="2" text="" percent="0" bottom="0">
      <formula>"Mineur"</formula>
    </cfRule>
    <cfRule type="cellIs" rank="0" priority="12" equalAverage="0" operator="equal" aboveAverage="0" dxfId="2" text="" percent="0" bottom="0">
      <formula>"Mineure"</formula>
    </cfRule>
    <cfRule type="cellIs" rank="0" priority="13" equalAverage="0" operator="equal" aboveAverage="0" dxfId="3" text="" percent="0" bottom="0">
      <formula>"Basse"</formula>
    </cfRule>
    <cfRule type="cellIs" rank="0" priority="14" equalAverage="0" operator="equal" aboveAverage="0" dxfId="3" text="" percent="0" bottom="0">
      <formula>"Cosmétique"</formula>
    </cfRule>
  </conditionalFormatting>
  <conditionalFormatting sqref="J4:J11">
    <cfRule type="cellIs" rank="0" priority="15" equalAverage="0" operator="equal" aboveAverage="0" dxfId="27" text="" percent="0" bottom="0">
      <formula>"OK"</formula>
    </cfRule>
    <cfRule type="cellIs" rank="0" priority="16" equalAverage="0" operator="equal" aboveAverage="0" dxfId="28" text="" percent="0" bottom="0">
      <formula>"KO"</formula>
    </cfRule>
    <cfRule type="cellIs" rank="0" priority="17" equalAverage="0" operator="equal" aboveAverage="0" dxfId="29" text="" percent="0" bottom="0">
      <formula>"Bloqué"</formula>
    </cfRule>
    <cfRule type="cellIs" rank="0" priority="18" equalAverage="0" operator="equal" aboveAverage="0" dxfId="30" text="" percent="0" bottom="0">
      <formula>"N/A"</formula>
    </cfRule>
    <cfRule type="cellIs" rank="0" priority="19" equalAverage="0" operator="equal" aboveAverage="0" dxfId="31" text="" percent="0" bottom="0">
      <formula>"À exécuter"</formula>
    </cfRule>
  </conditionalFormatting>
  <dataValidations count="2">
    <dataValidation sqref="J4:J11" showDropDown="0" showInputMessage="0" showErrorMessage="0" allowBlank="1" errorTitle="Statut invalide" error="Choisir une valeur dans la liste" promptTitle="Statut" prompt="Sélectionnez le statut d'exécution" type="list" errorStyle="stop" operator="between">
      <formula1>"OK,KO,Bloqué,N/A,À exécuter"</formula1>
      <formula2>0</formula2>
    </dataValidation>
    <dataValidation sqref="D4:D11" showDropDown="0" showInputMessage="0" showErrorMessage="0" allowBlank="1" type="list" errorStyle="stop" operator="between">
      <formula1>"Bloquant,Bloquant (sécurité),Bloquant (RGPD),Haute,Haute (sécurité),Moyenne,Basse"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4" customWidth="1" style="19" min="1" max="1"/>
    <col width="40" customWidth="1" style="19" min="2" max="2"/>
    <col width="14" customWidth="1" style="19" min="3" max="3"/>
    <col width="16" customWidth="1" style="19" min="4" max="4"/>
    <col width="30" customWidth="1" style="19" min="5" max="6"/>
    <col width="40" customWidth="1" style="19" min="7" max="7"/>
    <col width="45" customWidth="1" style="19" min="8" max="8"/>
    <col width="25" customWidth="1" style="19" min="9" max="9"/>
    <col width="15" customWidth="1" style="19" min="10" max="10"/>
    <col width="14" customWidth="1" style="19" min="11" max="11"/>
    <col width="18" customWidth="1" style="19" min="12" max="12"/>
    <col width="30" customWidth="1" style="19" min="13" max="13"/>
    <col width="16" customWidth="1" style="19" min="14" max="14"/>
  </cols>
  <sheetData>
    <row r="1" ht="27.75" customHeight="1" s="20">
      <c r="A1" s="21" t="inlineStr">
        <is>
          <t>9. Cas de test — CONS (Conseils / Articles)</t>
        </is>
      </c>
    </row>
    <row r="3" ht="30" customHeight="1" s="20">
      <c r="A3" s="32" t="inlineStr">
        <is>
          <t>ID</t>
        </is>
      </c>
      <c r="B3" s="32" t="inlineStr">
        <is>
          <t>Titre</t>
        </is>
      </c>
      <c r="C3" s="32" t="inlineStr">
        <is>
          <t>Niveau</t>
        </is>
      </c>
      <c r="D3" s="32" t="inlineStr">
        <is>
          <t>Criticité</t>
        </is>
      </c>
      <c r="E3" s="32" t="inlineStr">
        <is>
          <t>Préconditions</t>
        </is>
      </c>
      <c r="F3" s="32" t="inlineStr">
        <is>
          <t>Données</t>
        </is>
      </c>
      <c r="G3" s="32" t="inlineStr">
        <is>
          <t>Étapes</t>
        </is>
      </c>
      <c r="H3" s="32" t="inlineStr">
        <is>
          <t>Résultat attendu</t>
        </is>
      </c>
      <c r="I3" s="32" t="inlineStr">
        <is>
          <t>Automatisé</t>
        </is>
      </c>
      <c r="J3" s="32" t="inlineStr">
        <is>
          <t>Statut</t>
        </is>
      </c>
      <c r="K3" s="32" t="inlineStr">
        <is>
          <t>Date exécution</t>
        </is>
      </c>
      <c r="L3" s="32" t="inlineStr">
        <is>
          <t>Testeur</t>
        </is>
      </c>
      <c r="M3" s="32" t="inlineStr">
        <is>
          <t>Commentaire</t>
        </is>
      </c>
      <c r="N3" s="32" t="inlineStr">
        <is>
          <t>ID anomalie</t>
        </is>
      </c>
    </row>
    <row r="4" ht="15" customHeight="1" s="20">
      <c r="A4" s="33" t="inlineStr">
        <is>
          <t>CT-CONS-001</t>
        </is>
      </c>
      <c r="B4" s="33" t="inlineStr">
        <is>
          <t>Liste publique des articles publiés</t>
        </is>
      </c>
      <c r="C4" s="33" t="inlineStr">
        <is>
          <t>Intégration</t>
        </is>
      </c>
      <c r="D4" s="33" t="inlineStr">
        <is>
          <t>Haute</t>
        </is>
      </c>
      <c r="E4" s="33" t="inlineStr">
        <is>
          <t>Articles publiés en DB</t>
        </is>
      </c>
      <c r="F4" s="33" t="inlineStr">
        <is>
          <t>—</t>
        </is>
      </c>
      <c r="G4" s="33" t="inlineStr">
        <is>
          <t>GET /api/articles?publishedOnly=true</t>
        </is>
      </c>
      <c r="H4" s="33" t="inlineStr">
        <is>
          <t>Seuls les articles avec isPublished=true</t>
        </is>
      </c>
      <c r="I4" s="33" t="inlineStr">
        <is>
          <t>✅</t>
        </is>
      </c>
      <c r="J4" s="33" t="inlineStr">
        <is>
          <t>À exécuter</t>
        </is>
      </c>
      <c r="K4" s="33" t="n"/>
      <c r="L4" s="33" t="n"/>
      <c r="M4" s="33" t="n"/>
      <c r="N4" s="33" t="n"/>
    </row>
    <row r="5" ht="15" customHeight="1" s="20">
      <c r="A5" s="34" t="inlineStr">
        <is>
          <t>CT-CONS-002</t>
        </is>
      </c>
      <c r="B5" s="34" t="inlineStr">
        <is>
          <t>Liste sans filtre (admin)</t>
        </is>
      </c>
      <c r="C5" s="34" t="inlineStr">
        <is>
          <t>Intégration</t>
        </is>
      </c>
      <c r="D5" s="34" t="inlineStr">
        <is>
          <t>Moyenne</t>
        </is>
      </c>
      <c r="E5" s="34" t="inlineStr">
        <is>
          <t>Articles publiés + brouillons</t>
        </is>
      </c>
      <c r="F5" s="34" t="inlineStr">
        <is>
          <t>—</t>
        </is>
      </c>
      <c r="G5" s="34" t="inlineStr">
        <is>
          <t>GET /api/articles</t>
        </is>
      </c>
      <c r="H5" s="34" t="inlineStr">
        <is>
          <t>Tous les articles (drafts inclus)</t>
        </is>
      </c>
      <c r="I5" s="34" t="inlineStr">
        <is>
          <t>✅</t>
        </is>
      </c>
      <c r="J5" s="34" t="inlineStr">
        <is>
          <t>À exécuter</t>
        </is>
      </c>
      <c r="K5" s="34" t="n"/>
      <c r="L5" s="34" t="n"/>
      <c r="M5" s="34" t="n"/>
      <c r="N5" s="34" t="n"/>
    </row>
    <row r="6" ht="15" customHeight="1" s="20">
      <c r="A6" s="33" t="inlineStr">
        <is>
          <t>CT-CONS-003</t>
        </is>
      </c>
      <c r="B6" s="33" t="inlineStr">
        <is>
          <t>Lookup par slug existant</t>
        </is>
      </c>
      <c r="C6" s="33" t="inlineStr">
        <is>
          <t>Intégration</t>
        </is>
      </c>
      <c r="D6" s="33" t="inlineStr">
        <is>
          <t>Haute</t>
        </is>
      </c>
      <c r="E6" s="33" t="inlineStr">
        <is>
          <t>Article slug='hello'</t>
        </is>
      </c>
      <c r="F6" s="33" t="inlineStr">
        <is>
          <t>—</t>
        </is>
      </c>
      <c r="G6" s="33" t="inlineStr">
        <is>
          <t>GET /api/articles/by-slug/hello</t>
        </is>
      </c>
      <c r="H6" s="33" t="inlineStr">
        <is>
          <t>HTTP 200 + article complet</t>
        </is>
      </c>
      <c r="I6" s="33" t="inlineStr">
        <is>
          <t>✅</t>
        </is>
      </c>
      <c r="J6" s="33" t="inlineStr">
        <is>
          <t>À exécuter</t>
        </is>
      </c>
      <c r="K6" s="33" t="n"/>
      <c r="L6" s="33" t="n"/>
      <c r="M6" s="33" t="n"/>
      <c r="N6" s="33" t="n"/>
    </row>
    <row r="7" ht="15" customHeight="1" s="20">
      <c r="A7" s="34" t="inlineStr">
        <is>
          <t>CT-CONS-004</t>
        </is>
      </c>
      <c r="B7" s="34" t="inlineStr">
        <is>
          <t>Lookup par slug inexistant</t>
        </is>
      </c>
      <c r="C7" s="34" t="inlineStr">
        <is>
          <t>Intégration</t>
        </is>
      </c>
      <c r="D7" s="34" t="inlineStr">
        <is>
          <t>Moyenne</t>
        </is>
      </c>
      <c r="E7" s="34" t="inlineStr">
        <is>
          <t>—</t>
        </is>
      </c>
      <c r="F7" s="34" t="inlineStr">
        <is>
          <t>—</t>
        </is>
      </c>
      <c r="G7" s="34" t="inlineStr">
        <is>
          <t>GET /api/articles/by-slug/nope</t>
        </is>
      </c>
      <c r="H7" s="34" t="inlineStr">
        <is>
          <t>HTTP 404</t>
        </is>
      </c>
      <c r="I7" s="34" t="inlineStr">
        <is>
          <t>✅</t>
        </is>
      </c>
      <c r="J7" s="34" t="inlineStr">
        <is>
          <t>À exécuter</t>
        </is>
      </c>
      <c r="K7" s="34" t="n"/>
      <c r="L7" s="34" t="n"/>
      <c r="M7" s="34" t="n"/>
      <c r="N7" s="34" t="n"/>
    </row>
    <row r="8" ht="15" customHeight="1" s="20">
      <c r="A8" s="33" t="inlineStr">
        <is>
          <t>CT-CONS-005</t>
        </is>
      </c>
      <c r="B8" s="33" t="inlineStr">
        <is>
          <t>Recherche client par mot-clé</t>
        </is>
      </c>
      <c r="C8" s="33" t="inlineStr">
        <is>
          <t>Manuel</t>
        </is>
      </c>
      <c r="D8" s="33" t="inlineStr">
        <is>
          <t>Moyenne</t>
        </is>
      </c>
      <c r="E8" s="33" t="inlineStr">
        <is>
          <t>Articles divers</t>
        </is>
      </c>
      <c r="F8" s="33" t="inlineStr">
        <is>
          <t>Mot-clé</t>
        </is>
      </c>
      <c r="G8" s="33" t="inlineStr">
        <is>
          <t>/conseils → champ recherche → saisir un mot</t>
        </is>
      </c>
      <c r="H8" s="33" t="inlineStr">
        <is>
          <t>Liste filtrée (titre + content + excerpt)</t>
        </is>
      </c>
      <c r="I8" s="33" t="inlineStr">
        <is>
          <t>Manuel</t>
        </is>
      </c>
      <c r="J8" s="33" t="inlineStr">
        <is>
          <t>À exécuter</t>
        </is>
      </c>
      <c r="K8" s="33" t="n"/>
      <c r="L8" s="33" t="n"/>
      <c r="M8" s="33" t="n"/>
      <c r="N8" s="33" t="n"/>
    </row>
    <row r="9" ht="20.25" customHeight="1" s="20">
      <c r="A9" s="34" t="inlineStr">
        <is>
          <t>CT-CONS-006</t>
        </is>
      </c>
      <c r="B9" s="34" t="inlineStr">
        <is>
          <t>Filtre par catégorie</t>
        </is>
      </c>
      <c r="C9" s="34" t="inlineStr">
        <is>
          <t>Manuel + Mobile Maestro</t>
        </is>
      </c>
      <c r="D9" s="34" t="inlineStr">
        <is>
          <t>Moyenne</t>
        </is>
      </c>
      <c r="E9" s="34" t="inlineStr">
        <is>
          <t>Articles dans plusieurs catégories</t>
        </is>
      </c>
      <c r="F9" s="34" t="inlineStr">
        <is>
          <t>—</t>
        </is>
      </c>
      <c r="G9" s="34" t="inlineStr">
        <is>
          <t>Sélectionner une catégorie dans le filtre</t>
        </is>
      </c>
      <c r="H9" s="34" t="inlineStr">
        <is>
          <t>Seuls les articles de cette catégorie</t>
        </is>
      </c>
      <c r="I9" s="34" t="inlineStr">
        <is>
          <t>✅ Mobile partiel</t>
        </is>
      </c>
      <c r="J9" s="34" t="inlineStr">
        <is>
          <t>À exécuter</t>
        </is>
      </c>
      <c r="K9" s="34" t="n"/>
      <c r="L9" s="34" t="n"/>
      <c r="M9" s="34" t="n"/>
      <c r="N9" s="34" t="n"/>
    </row>
    <row r="10" ht="30" customHeight="1" s="20">
      <c r="A10" s="33" t="inlineStr">
        <is>
          <t>CT-CONS-007</t>
        </is>
      </c>
      <c r="B10" s="33" t="inlineStr">
        <is>
          <t>Brouillon non visible côté public</t>
        </is>
      </c>
      <c r="C10" s="33" t="inlineStr">
        <is>
          <t>E2E</t>
        </is>
      </c>
      <c r="D10" s="33" t="inlineStr">
        <is>
          <t>Bloquant</t>
        </is>
      </c>
      <c r="E10" s="33" t="inlineStr">
        <is>
          <t>—</t>
        </is>
      </c>
      <c r="F10" s="33" t="inlineStr">
        <is>
          <t>Article isPublished=false</t>
        </is>
      </c>
      <c r="G10" s="33" t="inlineStr">
        <is>
          <t>• Créer article isPublished=false
• GET /conseils (liste)
• GET /conseils/&lt;slug&gt; direct</t>
        </is>
      </c>
      <c r="H10" s="33" t="inlineStr">
        <is>
          <t>• Liste : article absent
• URL directe : redirige vers 'Article non trouvé' (vérification client)</t>
        </is>
      </c>
      <c r="I10" s="33" t="inlineStr">
        <is>
          <t>✅ partiel</t>
        </is>
      </c>
      <c r="J10" s="33" t="inlineStr">
        <is>
          <t>À exécuter</t>
        </is>
      </c>
      <c r="K10" s="33" t="n"/>
      <c r="L10" s="33" t="n"/>
      <c r="M10" s="33" t="n"/>
      <c r="N10" s="33" t="n"/>
    </row>
    <row r="11" ht="15" customHeight="1" s="20">
      <c r="A11" s="34" t="inlineStr">
        <is>
          <t>CT-CONS-008</t>
        </is>
      </c>
      <c r="B11" s="34" t="inlineStr">
        <is>
          <t>Brouillon visible côté admin</t>
        </is>
      </c>
      <c r="C11" s="34" t="inlineStr">
        <is>
          <t>Manuel</t>
        </is>
      </c>
      <c r="D11" s="34" t="inlineStr">
        <is>
          <t>Haute</t>
        </is>
      </c>
      <c r="E11" s="34" t="inlineStr">
        <is>
          <t>Brouillon en base</t>
        </is>
      </c>
      <c r="F11" s="34" t="inlineStr">
        <is>
          <t>—</t>
        </is>
      </c>
      <c r="G11" s="34" t="inlineStr">
        <is>
          <t>Admin → /admin/articles</t>
        </is>
      </c>
      <c r="H11" s="34" t="inlineStr">
        <is>
          <t>Brouillons listés avec badge 'Brouillon'</t>
        </is>
      </c>
      <c r="I11" s="34" t="inlineStr">
        <is>
          <t>Manuel</t>
        </is>
      </c>
      <c r="J11" s="34" t="inlineStr">
        <is>
          <t>À exécuter</t>
        </is>
      </c>
      <c r="K11" s="34" t="n"/>
      <c r="L11" s="34" t="n"/>
      <c r="M11" s="34" t="n"/>
      <c r="N11" s="34" t="n"/>
    </row>
    <row r="12" ht="30" customHeight="1" s="20">
      <c r="A12" s="33" t="inlineStr">
        <is>
          <t>CT-CONS-009</t>
        </is>
      </c>
      <c r="B12" s="33" t="inlineStr">
        <is>
          <t>Article HTML rendu correctement</t>
        </is>
      </c>
      <c r="C12" s="33" t="inlineStr">
        <is>
          <t>Manuel</t>
        </is>
      </c>
      <c r="D12" s="33" t="inlineStr">
        <is>
          <t>Haute</t>
        </is>
      </c>
      <c r="E12" s="33" t="inlineStr">
        <is>
          <t>Article avec balises HTML</t>
        </is>
      </c>
      <c r="F12" s="33" t="inlineStr">
        <is>
          <t>—</t>
        </is>
      </c>
      <c r="G12" s="33" t="inlineStr">
        <is>
          <t>Lire un article avec &lt;h1&gt;, &lt;ul&gt;, &lt;a&gt;, &lt;strong&gt;</t>
        </is>
      </c>
      <c r="H12" s="33" t="inlineStr">
        <is>
          <t>Mise en forme préservée (web : dangerouslySetInnerHTML + Tailwind typography ; mobile : react-native-render-html avec styles)</t>
        </is>
      </c>
      <c r="I12" s="33" t="inlineStr">
        <is>
          <t>Manuel</t>
        </is>
      </c>
      <c r="J12" s="33" t="inlineStr">
        <is>
          <t>À exécuter</t>
        </is>
      </c>
      <c r="K12" s="33" t="n"/>
      <c r="L12" s="33" t="n"/>
      <c r="M12" s="33" t="n"/>
      <c r="N12" s="33" t="n"/>
    </row>
    <row r="13" ht="15" customHeight="1" s="20">
      <c r="A13" s="34" t="inlineStr">
        <is>
          <t>CT-CONS-010</t>
        </is>
      </c>
      <c r="B13" s="34" t="inlineStr">
        <is>
          <t>Web : navigation depuis article</t>
        </is>
      </c>
      <c r="C13" s="34" t="inlineStr">
        <is>
          <t>Manuel</t>
        </is>
      </c>
      <c r="D13" s="34" t="inlineStr">
        <is>
          <t>Basse</t>
        </is>
      </c>
      <c r="E13" s="34" t="inlineStr">
        <is>
          <t>—</t>
        </is>
      </c>
      <c r="F13" s="34" t="inlineStr">
        <is>
          <t>—</t>
        </is>
      </c>
      <c r="G13" s="34" t="inlineStr">
        <is>
          <t>Article → 'Retour aux conseils'</t>
        </is>
      </c>
      <c r="H13" s="34" t="inlineStr">
        <is>
          <t>Retour à la liste</t>
        </is>
      </c>
      <c r="I13" s="34" t="inlineStr">
        <is>
          <t>Manuel</t>
        </is>
      </c>
      <c r="J13" s="34" t="inlineStr">
        <is>
          <t>À exécuter</t>
        </is>
      </c>
      <c r="K13" s="34" t="n"/>
      <c r="L13" s="34" t="n"/>
      <c r="M13" s="34" t="n"/>
      <c r="N13" s="34" t="n"/>
    </row>
    <row r="14">
      <c r="A14" s="40" t="inlineStr">
        <is>
          <t>CT-CONS-011</t>
        </is>
      </c>
      <c r="B14" s="40" t="inlineStr">
        <is>
          <t>GET /api/articles/[id] → 404 si inexistant</t>
        </is>
      </c>
      <c r="C14" s="40" t="inlineStr">
        <is>
          <t>Intégration</t>
        </is>
      </c>
      <c r="D14" s="40" t="inlineStr">
        <is>
          <t>Moyenne</t>
        </is>
      </c>
      <c r="E14" s="40" t="inlineStr">
        <is>
          <t>ID inexistant</t>
        </is>
      </c>
      <c r="F14" s="40" t="inlineStr">
        <is>
          <t>id=00000000-0000-0000-0000-000000000000</t>
        </is>
      </c>
      <c r="G14" s="40" t="inlineStr">
        <is>
          <t>GET /api/articles/[id]</t>
        </is>
      </c>
      <c r="H14" s="40" t="inlineStr">
        <is>
          <t>HTTP 404</t>
        </is>
      </c>
      <c r="I14" s="40" t="inlineStr">
        <is>
          <t>✅ tests/integration/articles-crud.test.ts</t>
        </is>
      </c>
      <c r="J14" s="40" t="inlineStr">
        <is>
          <t>À exécuter</t>
        </is>
      </c>
      <c r="K14" s="40" t="n"/>
      <c r="L14" s="40" t="n"/>
      <c r="M14" s="40" t="n"/>
      <c r="N14" s="40" t="n"/>
    </row>
    <row r="15">
      <c r="A15" s="40" t="inlineStr">
        <is>
          <t>CT-CONS-012</t>
        </is>
      </c>
      <c r="B15" s="40" t="inlineStr">
        <is>
          <t>GET /api/articles/[id] → retourne l'article</t>
        </is>
      </c>
      <c r="C15" s="40" t="inlineStr">
        <is>
          <t>Intégration</t>
        </is>
      </c>
      <c r="D15" s="40" t="inlineStr">
        <is>
          <t>Haute</t>
        </is>
      </c>
      <c r="E15" s="40" t="inlineStr">
        <is>
          <t>Article existant</t>
        </is>
      </c>
      <c r="F15" s="40" t="inlineStr">
        <is>
          <t>title='Hello', slug='hello'</t>
        </is>
      </c>
      <c r="G15" s="40" t="inlineStr">
        <is>
          <t>GET /api/articles/[id]</t>
        </is>
      </c>
      <c r="H15" s="40" t="inlineStr">
        <is>
          <t>HTTP 200 — body.title='Hello', body.slug='hello'</t>
        </is>
      </c>
      <c r="I15" s="40" t="inlineStr">
        <is>
          <t>✅ tests/integration/articles-crud.test.ts</t>
        </is>
      </c>
      <c r="J15" s="40" t="inlineStr">
        <is>
          <t>À exécuter</t>
        </is>
      </c>
      <c r="K15" s="40" t="n"/>
      <c r="L15" s="40" t="n"/>
      <c r="M15" s="40" t="n"/>
      <c r="N15" s="40" t="n"/>
    </row>
    <row r="16">
      <c r="A16" s="40" t="inlineStr">
        <is>
          <t>CT-CONS-013</t>
        </is>
      </c>
      <c r="B16" s="40" t="inlineStr">
        <is>
          <t>GET /api/articles/categories → liste</t>
        </is>
      </c>
      <c r="C16" s="40" t="inlineStr">
        <is>
          <t>Intégration</t>
        </is>
      </c>
      <c r="D16" s="40" t="inlineStr">
        <is>
          <t>Moyenne</t>
        </is>
      </c>
      <c r="E16" s="40" t="inlineStr">
        <is>
          <t>Base vide ou avec catégories</t>
        </is>
      </c>
      <c r="F16" s="40" t="inlineStr">
        <is>
          <t>—</t>
        </is>
      </c>
      <c r="G16" s="40" t="inlineStr">
        <is>
          <t>GET /api/articles/categories</t>
        </is>
      </c>
      <c r="H16" s="40" t="inlineStr">
        <is>
          <t>HTTP 200 — body est un tableau</t>
        </is>
      </c>
      <c r="I16" s="40" t="inlineStr">
        <is>
          <t>✅ tests/integration/articles.test.ts</t>
        </is>
      </c>
      <c r="J16" s="40" t="inlineStr">
        <is>
          <t>À exécuter</t>
        </is>
      </c>
      <c r="K16" s="40" t="n"/>
      <c r="L16" s="40" t="n"/>
      <c r="M16" s="40" t="n"/>
      <c r="N16" s="40" t="n"/>
    </row>
    <row r="17">
      <c r="A17" s="40" t="inlineStr">
        <is>
          <t>CT-CONS-014</t>
        </is>
      </c>
      <c r="B17" s="40" t="inlineStr">
        <is>
          <t>GET /api/articles/categories → avec données après seed</t>
        </is>
      </c>
      <c r="C17" s="40" t="inlineStr">
        <is>
          <t>Intégration</t>
        </is>
      </c>
      <c r="D17" s="40" t="inlineStr">
        <is>
          <t>Haute</t>
        </is>
      </c>
      <c r="E17" s="40" t="inlineStr">
        <is>
          <t>Catégorie seedée en base</t>
        </is>
      </c>
      <c r="F17" s="40" t="inlineStr">
        <is>
          <t>—</t>
        </is>
      </c>
      <c r="G17" s="40" t="inlineStr">
        <is>
          <t>GET /api/articles/categories</t>
        </is>
      </c>
      <c r="H17" s="40" t="inlineStr">
        <is>
          <t>HTTP 200 — body.length &gt; 0</t>
        </is>
      </c>
      <c r="I17" s="40" t="inlineStr">
        <is>
          <t>✅ tests/integration/articles.test.ts</t>
        </is>
      </c>
      <c r="J17" s="40" t="inlineStr">
        <is>
          <t>À exécuter</t>
        </is>
      </c>
      <c r="K17" s="40" t="n"/>
      <c r="L17" s="40" t="n"/>
      <c r="M17" s="40" t="n"/>
      <c r="N17" s="40" t="n"/>
    </row>
  </sheetData>
  <autoFilter ref="A3:N13"/>
  <mergeCells count="1">
    <mergeCell ref="A1:N1"/>
  </mergeCells>
  <conditionalFormatting sqref="D4:D13">
    <cfRule type="cellIs" rank="0" priority="2" equalAverage="0" operator="equal" aboveAverage="0" dxfId="0" text="" percent="0" bottom="0">
      <formula>"Bloquant"</formula>
    </cfRule>
    <cfRule type="cellIs" rank="0" priority="3" equalAverage="0" operator="equal" aboveAverage="0" dxfId="0" text="" percent="0" bottom="0">
      <formula>"Bloquant (sécurité)"</formula>
    </cfRule>
    <cfRule type="cellIs" rank="0" priority="4" equalAverage="0" operator="equal" aboveAverage="0" dxfId="0" text="" percent="0" bottom="0">
      <formula>"Bloquant (RGPD)"</formula>
    </cfRule>
    <cfRule type="cellIs" rank="0" priority="5" equalAverage="0" operator="equal" aboveAverage="0" dxfId="0" text="" percent="0" bottom="0">
      <formula>"Bloquante"</formula>
    </cfRule>
    <cfRule type="cellIs" rank="0" priority="6" equalAverage="0" operator="equal" aboveAverage="0" dxfId="1" text="" percent="0" bottom="0">
      <formula>"Haute"</formula>
    </cfRule>
    <cfRule type="cellIs" rank="0" priority="7" equalAverage="0" operator="equal" aboveAverage="0" dxfId="1" text="" percent="0" bottom="0">
      <formula>"Haute (sécurité)"</formula>
    </cfRule>
    <cfRule type="cellIs" rank="0" priority="8" equalAverage="0" operator="equal" aboveAverage="0" dxfId="1" text="" percent="0" bottom="0">
      <formula>"Majeur"</formula>
    </cfRule>
    <cfRule type="cellIs" rank="0" priority="9" equalAverage="0" operator="equal" aboveAverage="0" dxfId="1" text="" percent="0" bottom="0">
      <formula>"Majeure"</formula>
    </cfRule>
    <cfRule type="cellIs" rank="0" priority="10" equalAverage="0" operator="equal" aboveAverage="0" dxfId="2" text="" percent="0" bottom="0">
      <formula>"Moyenne"</formula>
    </cfRule>
    <cfRule type="cellIs" rank="0" priority="11" equalAverage="0" operator="equal" aboveAverage="0" dxfId="2" text="" percent="0" bottom="0">
      <formula>"Mineur"</formula>
    </cfRule>
    <cfRule type="cellIs" rank="0" priority="12" equalAverage="0" operator="equal" aboveAverage="0" dxfId="2" text="" percent="0" bottom="0">
      <formula>"Mineure"</formula>
    </cfRule>
    <cfRule type="cellIs" rank="0" priority="13" equalAverage="0" operator="equal" aboveAverage="0" dxfId="3" text="" percent="0" bottom="0">
      <formula>"Basse"</formula>
    </cfRule>
    <cfRule type="cellIs" rank="0" priority="14" equalAverage="0" operator="equal" aboveAverage="0" dxfId="3" text="" percent="0" bottom="0">
      <formula>"Cosmétique"</formula>
    </cfRule>
  </conditionalFormatting>
  <conditionalFormatting sqref="J4:J13">
    <cfRule type="cellIs" rank="0" priority="15" equalAverage="0" operator="equal" aboveAverage="0" dxfId="27" text="" percent="0" bottom="0">
      <formula>"OK"</formula>
    </cfRule>
    <cfRule type="cellIs" rank="0" priority="16" equalAverage="0" operator="equal" aboveAverage="0" dxfId="28" text="" percent="0" bottom="0">
      <formula>"KO"</formula>
    </cfRule>
    <cfRule type="cellIs" rank="0" priority="17" equalAverage="0" operator="equal" aboveAverage="0" dxfId="29" text="" percent="0" bottom="0">
      <formula>"Bloqué"</formula>
    </cfRule>
    <cfRule type="cellIs" rank="0" priority="18" equalAverage="0" operator="equal" aboveAverage="0" dxfId="30" text="" percent="0" bottom="0">
      <formula>"N/A"</formula>
    </cfRule>
    <cfRule type="cellIs" rank="0" priority="19" equalAverage="0" operator="equal" aboveAverage="0" dxfId="31" text="" percent="0" bottom="0">
      <formula>"À exécuter"</formula>
    </cfRule>
  </conditionalFormatting>
  <dataValidations count="2">
    <dataValidation sqref="J4:J13" showDropDown="0" showInputMessage="0" showErrorMessage="0" allowBlank="1" errorTitle="Statut invalide" error="Choisir une valeur dans la liste" promptTitle="Statut" prompt="Sélectionnez le statut d'exécution" type="list" errorStyle="stop" operator="between">
      <formula1>"OK,KO,Bloqué,N/A,À exécuter"</formula1>
      <formula2>0</formula2>
    </dataValidation>
    <dataValidation sqref="D4:D13" showDropDown="0" showInputMessage="0" showErrorMessage="0" allowBlank="1" type="list" errorStyle="stop" operator="between">
      <formula1>"Bloquant,Bloquant (sécurité),Bloquant (RGPD),Haute,Haute (sécurité),Moyenne,Basse"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4" customWidth="1" style="19" min="1" max="1"/>
    <col width="40" customWidth="1" style="19" min="2" max="2"/>
    <col width="14" customWidth="1" style="19" min="3" max="3"/>
    <col width="16" customWidth="1" style="19" min="4" max="4"/>
    <col width="30" customWidth="1" style="19" min="5" max="6"/>
    <col width="40" customWidth="1" style="19" min="7" max="7"/>
    <col width="45" customWidth="1" style="19" min="8" max="8"/>
    <col width="25" customWidth="1" style="19" min="9" max="9"/>
    <col width="15" customWidth="1" style="19" min="10" max="10"/>
    <col width="14" customWidth="1" style="19" min="11" max="11"/>
    <col width="18" customWidth="1" style="19" min="12" max="12"/>
    <col width="30" customWidth="1" style="19" min="13" max="13"/>
    <col width="16" customWidth="1" style="19" min="14" max="14"/>
  </cols>
  <sheetData>
    <row r="1" ht="27.75" customHeight="1" s="20">
      <c r="A1" s="21" t="inlineStr">
        <is>
          <t>10. Cas de test — ADM (Administration)</t>
        </is>
      </c>
    </row>
    <row r="3" ht="30" customHeight="1" s="20">
      <c r="A3" s="32" t="inlineStr">
        <is>
          <t>ID</t>
        </is>
      </c>
      <c r="B3" s="32" t="inlineStr">
        <is>
          <t>Titre</t>
        </is>
      </c>
      <c r="C3" s="32" t="inlineStr">
        <is>
          <t>Niveau</t>
        </is>
      </c>
      <c r="D3" s="32" t="inlineStr">
        <is>
          <t>Criticité</t>
        </is>
      </c>
      <c r="E3" s="32" t="inlineStr">
        <is>
          <t>Préconditions</t>
        </is>
      </c>
      <c r="F3" s="32" t="inlineStr">
        <is>
          <t>Données</t>
        </is>
      </c>
      <c r="G3" s="32" t="inlineStr">
        <is>
          <t>Étapes</t>
        </is>
      </c>
      <c r="H3" s="32" t="inlineStr">
        <is>
          <t>Résultat attendu</t>
        </is>
      </c>
      <c r="I3" s="32" t="inlineStr">
        <is>
          <t>Automatisé</t>
        </is>
      </c>
      <c r="J3" s="32" t="inlineStr">
        <is>
          <t>Statut</t>
        </is>
      </c>
      <c r="K3" s="32" t="inlineStr">
        <is>
          <t>Date exécution</t>
        </is>
      </c>
      <c r="L3" s="32" t="inlineStr">
        <is>
          <t>Testeur</t>
        </is>
      </c>
      <c r="M3" s="32" t="inlineStr">
        <is>
          <t>Commentaire</t>
        </is>
      </c>
      <c r="N3" s="32" t="inlineStr">
        <is>
          <t>ID anomalie</t>
        </is>
      </c>
    </row>
    <row r="4" ht="15" customHeight="1" s="20">
      <c r="A4" s="33" t="inlineStr">
        <is>
          <t>CT-ADM-001</t>
        </is>
      </c>
      <c r="B4" s="33" t="inlineStr">
        <is>
          <t>Accès /admin sans connexion</t>
        </is>
      </c>
      <c r="C4" s="33" t="inlineStr">
        <is>
          <t>E2E</t>
        </is>
      </c>
      <c r="D4" s="33" t="inlineStr">
        <is>
          <t>Bloquant</t>
        </is>
      </c>
      <c r="E4" s="33" t="inlineStr">
        <is>
          <t>Aucune session</t>
        </is>
      </c>
      <c r="F4" s="33" t="inlineStr">
        <is>
          <t>—</t>
        </is>
      </c>
      <c r="G4" s="33" t="inlineStr">
        <is>
          <t>GET /admin</t>
        </is>
      </c>
      <c r="H4" s="33" t="inlineStr">
        <is>
          <t>Redirect 307 vers /login</t>
        </is>
      </c>
      <c r="I4" s="33" t="inlineStr">
        <is>
          <t>✅ Playwright</t>
        </is>
      </c>
      <c r="J4" s="33" t="inlineStr">
        <is>
          <t>À exécuter</t>
        </is>
      </c>
      <c r="K4" s="33" t="n"/>
      <c r="L4" s="33" t="n"/>
      <c r="M4" s="33" t="n"/>
      <c r="N4" s="33" t="n"/>
    </row>
    <row r="5" ht="15" customHeight="1" s="20">
      <c r="A5" s="34" t="inlineStr">
        <is>
          <t>CT-ADM-002</t>
        </is>
      </c>
      <c r="B5" s="34" t="inlineStr">
        <is>
          <t>Accès /admin en tant que user simple</t>
        </is>
      </c>
      <c r="C5" s="34" t="inlineStr">
        <is>
          <t>Intégration</t>
        </is>
      </c>
      <c r="D5" s="34" t="inlineStr">
        <is>
          <t>Bloquant (sécurité)</t>
        </is>
      </c>
      <c r="E5" s="34" t="inlineStr">
        <is>
          <t>Authentifié role=user</t>
        </is>
      </c>
      <c r="F5" s="34" t="inlineStr">
        <is>
          <t>—</t>
        </is>
      </c>
      <c r="G5" s="34" t="inlineStr">
        <is>
          <t>GET /admin</t>
        </is>
      </c>
      <c r="H5" s="34" t="inlineStr">
        <is>
          <t>Redirect vers /dashboard</t>
        </is>
      </c>
      <c r="I5" s="34" t="inlineStr">
        <is>
          <t>À ajouter</t>
        </is>
      </c>
      <c r="J5" s="34" t="inlineStr">
        <is>
          <t>À exécuter</t>
        </is>
      </c>
      <c r="K5" s="34" t="n"/>
      <c r="L5" s="34" t="n"/>
      <c r="M5" s="34" t="n"/>
      <c r="N5" s="34" t="n"/>
    </row>
    <row r="6" ht="20.25" customHeight="1" s="20">
      <c r="A6" s="33" t="inlineStr">
        <is>
          <t>CT-ADM-003</t>
        </is>
      </c>
      <c r="B6" s="33" t="inlineStr">
        <is>
          <t>Tableau de bord admin</t>
        </is>
      </c>
      <c r="C6" s="33" t="inlineStr">
        <is>
          <t>E2E</t>
        </is>
      </c>
      <c r="D6" s="33" t="inlineStr">
        <is>
          <t>Haute</t>
        </is>
      </c>
      <c r="E6" s="33" t="inlineStr">
        <is>
          <t>Admin connecté</t>
        </is>
      </c>
      <c r="F6" s="33" t="inlineStr">
        <is>
          <t>—</t>
        </is>
      </c>
      <c r="G6" s="33" t="inlineStr">
        <is>
          <t>Admin login → /admin</t>
        </is>
      </c>
      <c r="H6" s="33" t="inlineStr">
        <is>
          <t>KPI affichés : totalUsers, newUsersThisWeek, totalArticles, bannedUsers</t>
        </is>
      </c>
      <c r="I6" s="33" t="inlineStr">
        <is>
          <t>Manuel + admin.test.ts couvre l'API</t>
        </is>
      </c>
      <c r="J6" s="33" t="inlineStr">
        <is>
          <t>À exécuter</t>
        </is>
      </c>
      <c r="K6" s="33" t="n"/>
      <c r="L6" s="33" t="n"/>
      <c r="M6" s="33" t="n"/>
      <c r="N6" s="33" t="n"/>
    </row>
    <row r="7" ht="15" customHeight="1" s="20">
      <c r="A7" s="34" t="inlineStr">
        <is>
          <t>CT-ADM-004</t>
        </is>
      </c>
      <c r="B7" s="34" t="inlineStr">
        <is>
          <t>Liste utilisateurs</t>
        </is>
      </c>
      <c r="C7" s="34" t="inlineStr">
        <is>
          <t>Intégration</t>
        </is>
      </c>
      <c r="D7" s="34" t="inlineStr">
        <is>
          <t>Haute</t>
        </is>
      </c>
      <c r="E7" s="34" t="inlineStr">
        <is>
          <t>Admin authentifié</t>
        </is>
      </c>
      <c r="F7" s="34" t="inlineStr">
        <is>
          <t>—</t>
        </is>
      </c>
      <c r="G7" s="34" t="inlineStr">
        <is>
          <t>GET /api/admin/users (admin)</t>
        </is>
      </c>
      <c r="H7" s="34" t="inlineStr">
        <is>
          <t>Liste sans passwordHash</t>
        </is>
      </c>
      <c r="I7" s="34" t="inlineStr">
        <is>
          <t>✅</t>
        </is>
      </c>
      <c r="J7" s="34" t="inlineStr">
        <is>
          <t>À exécuter</t>
        </is>
      </c>
      <c r="K7" s="34" t="n"/>
      <c r="L7" s="34" t="n"/>
      <c r="M7" s="34" t="n"/>
      <c r="N7" s="34" t="n"/>
    </row>
    <row r="8" ht="20.25" customHeight="1" s="20">
      <c r="A8" s="33" t="inlineStr">
        <is>
          <t>CT-ADM-005</t>
        </is>
      </c>
      <c r="B8" s="33" t="inlineStr">
        <is>
          <t>Bannir un user</t>
        </is>
      </c>
      <c r="C8" s="33" t="inlineStr">
        <is>
          <t>Intégration</t>
        </is>
      </c>
      <c r="D8" s="33" t="inlineStr">
        <is>
          <t>Haute</t>
        </is>
      </c>
      <c r="E8" s="33" t="inlineStr">
        <is>
          <t>User cible existant</t>
        </is>
      </c>
      <c r="F8" s="33" t="inlineStr">
        <is>
          <t>{action:'toggleBan'}</t>
        </is>
      </c>
      <c r="G8" s="33" t="inlineStr">
        <is>
          <t>PATCH /api/admin/users/[id] body {action:'toggleBan'}</t>
        </is>
      </c>
      <c r="H8" s="33" t="inlineStr">
        <is>
          <t>HTTP 200 + isBanned=true</t>
        </is>
      </c>
      <c r="I8" s="33" t="inlineStr">
        <is>
          <t>✅</t>
        </is>
      </c>
      <c r="J8" s="33" t="inlineStr">
        <is>
          <t>À exécuter</t>
        </is>
      </c>
      <c r="K8" s="33" t="n"/>
      <c r="L8" s="33" t="n"/>
      <c r="M8" s="33" t="n"/>
      <c r="N8" s="33" t="n"/>
    </row>
    <row r="9" ht="15" customHeight="1" s="20">
      <c r="A9" s="34" t="inlineStr">
        <is>
          <t>CT-ADM-006</t>
        </is>
      </c>
      <c r="B9" s="34" t="inlineStr">
        <is>
          <t>Le user banni ne peut plus se connecter</t>
        </is>
      </c>
      <c r="C9" s="34" t="inlineStr">
        <is>
          <t>Intégration</t>
        </is>
      </c>
      <c r="D9" s="34" t="inlineStr">
        <is>
          <t>Bloquant</t>
        </is>
      </c>
      <c r="E9" s="34" t="inlineStr">
        <is>
          <t>Suite à CT-ADM-005</t>
        </is>
      </c>
      <c r="F9" s="34" t="inlineStr">
        <is>
          <t>—</t>
        </is>
      </c>
      <c r="G9" s="34" t="inlineStr">
        <is>
          <t>POST /api/auth/login avec ce user</t>
        </is>
      </c>
      <c r="H9" s="34" t="inlineStr">
        <is>
          <t>HTTP 403</t>
        </is>
      </c>
      <c r="I9" s="34" t="inlineStr">
        <is>
          <t>✅ (couvert par CT-AUTH-007)</t>
        </is>
      </c>
      <c r="J9" s="34" t="inlineStr">
        <is>
          <t>À exécuter</t>
        </is>
      </c>
      <c r="K9" s="34" t="n"/>
      <c r="L9" s="34" t="n"/>
      <c r="M9" s="34" t="n"/>
      <c r="N9" s="34" t="n"/>
    </row>
    <row r="10" ht="15" customHeight="1" s="20">
      <c r="A10" s="33" t="inlineStr">
        <is>
          <t>CT-ADM-007</t>
        </is>
      </c>
      <c r="B10" s="33" t="inlineStr">
        <is>
          <t>Refus de l'auto-modification</t>
        </is>
      </c>
      <c r="C10" s="33" t="inlineStr">
        <is>
          <t>Intégration</t>
        </is>
      </c>
      <c r="D10" s="33" t="inlineStr">
        <is>
          <t>Haute (sécurité)</t>
        </is>
      </c>
      <c r="E10" s="33" t="inlineStr">
        <is>
          <t>Admin connecté</t>
        </is>
      </c>
      <c r="F10" s="33" t="inlineStr">
        <is>
          <t>—</t>
        </is>
      </c>
      <c r="G10" s="33" t="inlineStr">
        <is>
          <t>PATCH /api/admin/users/[idAdminConnecté]</t>
        </is>
      </c>
      <c r="H10" s="33" t="inlineStr">
        <is>
          <t>HTTP 400 + body.error « propre compte »</t>
        </is>
      </c>
      <c r="I10" s="33" t="inlineStr">
        <is>
          <t>✅</t>
        </is>
      </c>
      <c r="J10" s="33" t="inlineStr">
        <is>
          <t>À exécuter</t>
        </is>
      </c>
      <c r="K10" s="33" t="n"/>
      <c r="L10" s="33" t="n"/>
      <c r="M10" s="33" t="n"/>
      <c r="N10" s="33" t="n"/>
    </row>
    <row r="11" ht="15" customHeight="1" s="20">
      <c r="A11" s="34" t="inlineStr">
        <is>
          <t>CT-ADM-008</t>
        </is>
      </c>
      <c r="B11" s="34" t="inlineStr">
        <is>
          <t>Refus de bannir un autre admin</t>
        </is>
      </c>
      <c r="C11" s="34" t="inlineStr">
        <is>
          <t>Intégration</t>
        </is>
      </c>
      <c r="D11" s="34" t="inlineStr">
        <is>
          <t>Haute</t>
        </is>
      </c>
      <c r="E11" s="34" t="inlineStr">
        <is>
          <t>2 admins en base</t>
        </is>
      </c>
      <c r="F11" s="34" t="inlineStr">
        <is>
          <t>action=toggleBan</t>
        </is>
      </c>
      <c r="G11" s="34" t="inlineStr">
        <is>
          <t>PATCH avec target=autre admin, action=toggleBan</t>
        </is>
      </c>
      <c r="H11" s="34" t="inlineStr">
        <is>
          <t>HTTP 400</t>
        </is>
      </c>
      <c r="I11" s="34" t="inlineStr">
        <is>
          <t>✅</t>
        </is>
      </c>
      <c r="J11" s="34" t="inlineStr">
        <is>
          <t>À exécuter</t>
        </is>
      </c>
      <c r="K11" s="34" t="n"/>
      <c r="L11" s="34" t="n"/>
      <c r="M11" s="34" t="n"/>
      <c r="N11" s="34" t="n"/>
    </row>
    <row r="12" ht="15" customHeight="1" s="20">
      <c r="A12" s="33" t="inlineStr">
        <is>
          <t>CT-ADM-009</t>
        </is>
      </c>
      <c r="B12" s="33" t="inlineStr">
        <is>
          <t>Promotion d'un user en admin</t>
        </is>
      </c>
      <c r="C12" s="33" t="inlineStr">
        <is>
          <t>Intégration</t>
        </is>
      </c>
      <c r="D12" s="33" t="inlineStr">
        <is>
          <t>Haute</t>
        </is>
      </c>
      <c r="E12" s="33" t="inlineStr">
        <is>
          <t>User existant</t>
        </is>
      </c>
      <c r="F12" s="33" t="inlineStr">
        <is>
          <t>action=toggleRole</t>
        </is>
      </c>
      <c r="G12" s="33" t="inlineStr">
        <is>
          <t>PATCH avec action=toggleRole</t>
        </is>
      </c>
      <c r="H12" s="33" t="inlineStr">
        <is>
          <t>HTTP 200 + role='admin'</t>
        </is>
      </c>
      <c r="I12" s="33" t="inlineStr">
        <is>
          <t>✅ tests/integration/admin.test.ts</t>
        </is>
      </c>
      <c r="J12" s="33" t="inlineStr">
        <is>
          <t>À exécuter</t>
        </is>
      </c>
      <c r="K12" s="33" t="n"/>
      <c r="L12" s="33" t="n"/>
      <c r="M12" s="33" t="n"/>
      <c r="N12" s="33" t="n"/>
    </row>
    <row r="13" ht="15" customHeight="1" s="20">
      <c r="A13" s="34" t="inlineStr">
        <is>
          <t>CT-ADM-010</t>
        </is>
      </c>
      <c r="B13" s="34" t="inlineStr">
        <is>
          <t>Suppression d'un user</t>
        </is>
      </c>
      <c r="C13" s="34" t="inlineStr">
        <is>
          <t>Intégration</t>
        </is>
      </c>
      <c r="D13" s="34" t="inlineStr">
        <is>
          <t>Haute</t>
        </is>
      </c>
      <c r="E13" s="34" t="inlineStr">
        <is>
          <t>User cible</t>
        </is>
      </c>
      <c r="F13" s="34" t="inlineStr">
        <is>
          <t>—</t>
        </is>
      </c>
      <c r="G13" s="34" t="inlineStr">
        <is>
          <t>DELETE /api/admin/users/[id] (target = user)</t>
        </is>
      </c>
      <c r="H13" s="34" t="inlineStr">
        <is>
          <t>HTTP 200 + user supprimé + cascade sur entries</t>
        </is>
      </c>
      <c r="I13" s="34" t="inlineStr">
        <is>
          <t>✅ tests/integration/admin.test.ts</t>
        </is>
      </c>
      <c r="J13" s="34" t="inlineStr">
        <is>
          <t>À exécuter</t>
        </is>
      </c>
      <c r="K13" s="34" t="n"/>
      <c r="L13" s="34" t="n"/>
      <c r="M13" s="34" t="n"/>
      <c r="N13" s="34" t="n"/>
    </row>
    <row r="14" ht="15" customHeight="1" s="20">
      <c r="A14" s="33" t="inlineStr">
        <is>
          <t>CT-ADM-011</t>
        </is>
      </c>
      <c r="B14" s="33" t="inlineStr">
        <is>
          <t>Refus de suppression d'un admin</t>
        </is>
      </c>
      <c r="C14" s="33" t="inlineStr">
        <is>
          <t>Intégration</t>
        </is>
      </c>
      <c r="D14" s="33" t="inlineStr">
        <is>
          <t>Haute</t>
        </is>
      </c>
      <c r="E14" s="33" t="inlineStr">
        <is>
          <t>Autre admin existant</t>
        </is>
      </c>
      <c r="F14" s="33" t="inlineStr">
        <is>
          <t>—</t>
        </is>
      </c>
      <c r="G14" s="33" t="inlineStr">
        <is>
          <t>DELETE sur autre admin</t>
        </is>
      </c>
      <c r="H14" s="33" t="inlineStr">
        <is>
          <t>HTTP 400</t>
        </is>
      </c>
      <c r="I14" s="33" t="inlineStr">
        <is>
          <t>✅</t>
        </is>
      </c>
      <c r="J14" s="33" t="inlineStr">
        <is>
          <t>À exécuter</t>
        </is>
      </c>
      <c r="K14" s="33" t="n"/>
      <c r="L14" s="33" t="n"/>
      <c r="M14" s="33" t="n"/>
      <c r="N14" s="33" t="n"/>
    </row>
    <row r="15" ht="30" customHeight="1" s="20">
      <c r="A15" s="34" t="inlineStr">
        <is>
          <t>CT-ADM-012</t>
        </is>
      </c>
      <c r="B15" s="34" t="inlineStr">
        <is>
          <t>CRUD article admin</t>
        </is>
      </c>
      <c r="C15" s="34" t="inlineStr">
        <is>
          <t>Intégration</t>
        </is>
      </c>
      <c r="D15" s="34" t="inlineStr">
        <is>
          <t>Haute</t>
        </is>
      </c>
      <c r="E15" s="34" t="inlineStr">
        <is>
          <t>Admin authentifié</t>
        </is>
      </c>
      <c r="F15" s="34" t="inlineStr">
        <is>
          <t>Article complet</t>
        </is>
      </c>
      <c r="G15" s="34" t="inlineStr">
        <is>
          <t>• POST /api/articles (admin)
• PUT
• DELETE</t>
        </is>
      </c>
      <c r="H15" s="34" t="inlineStr">
        <is>
          <t>Cycle complet OK + slug unique enforced (409 sinon)</t>
        </is>
      </c>
      <c r="I15" s="34" t="inlineStr">
        <is>
          <t>Partiel</t>
        </is>
      </c>
      <c r="J15" s="34" t="inlineStr">
        <is>
          <t>À exécuter</t>
        </is>
      </c>
      <c r="K15" s="34" t="n"/>
      <c r="L15" s="34" t="n"/>
      <c r="M15" s="34" t="n"/>
      <c r="N15" s="34" t="n"/>
    </row>
    <row r="16" ht="30" customHeight="1" s="20">
      <c r="A16" s="33" t="inlineStr">
        <is>
          <t>CT-ADM-013</t>
        </is>
      </c>
      <c r="B16" s="33" t="inlineStr">
        <is>
          <t>Notes user invisibles côté admin</t>
        </is>
      </c>
      <c r="C16" s="33" t="inlineStr">
        <is>
          <t>Sécurité</t>
        </is>
      </c>
      <c r="D16" s="33" t="inlineStr">
        <is>
          <t>Bloquant (RGPD)</t>
        </is>
      </c>
      <c r="E16" s="33" t="inlineStr">
        <is>
          <t>User a une note</t>
        </is>
      </c>
      <c r="F16" s="33" t="inlineStr">
        <is>
          <t>—</t>
        </is>
      </c>
      <c r="G16" s="33" t="inlineStr">
        <is>
          <t>• User crée entrée avec note 'secret'
• Admin tente d'accéder à cette entrée par n'importe quel moyen</t>
        </is>
      </c>
      <c r="H16" s="33" t="inlineStr">
        <is>
          <t>• Aucune route API admin ne retourne noteEncrypted ni la note en clair
• La page /admin/users affiche un avertissement</t>
        </is>
      </c>
      <c r="I16" s="33" t="inlineStr">
        <is>
          <t>Validé par absence d'endpoint + CT-JRN-009/010</t>
        </is>
      </c>
      <c r="J16" s="33" t="inlineStr">
        <is>
          <t>À exécuter</t>
        </is>
      </c>
      <c r="K16" s="33" t="n"/>
      <c r="L16" s="33" t="n"/>
      <c r="M16" s="33" t="n"/>
      <c r="N16" s="33" t="n"/>
    </row>
    <row r="17" ht="15" customHeight="1" s="20">
      <c r="A17" s="34" t="inlineStr">
        <is>
          <t>CT-ADM-014</t>
        </is>
      </c>
      <c r="B17" s="34" t="inlineStr">
        <is>
          <t>Création catégorie d'émotion</t>
        </is>
      </c>
      <c r="C17" s="34" t="inlineStr">
        <is>
          <t>Intégration</t>
        </is>
      </c>
      <c r="D17" s="34" t="inlineStr">
        <is>
          <t>Moyenne</t>
        </is>
      </c>
      <c r="E17" s="34" t="inlineStr">
        <is>
          <t>Admin connecté</t>
        </is>
      </c>
      <c r="F17" s="34" t="inlineStr">
        <is>
          <t>Body avec label, color, icon</t>
        </is>
      </c>
      <c r="G17" s="34" t="inlineStr">
        <is>
          <t>POST /api/emotions/categories (admin)</t>
        </is>
      </c>
      <c r="H17" s="34" t="inlineStr">
        <is>
          <t>HTTP 200 + ligne créée</t>
        </is>
      </c>
      <c r="I17" s="34" t="inlineStr">
        <is>
          <t>Manuel</t>
        </is>
      </c>
      <c r="J17" s="34" t="inlineStr">
        <is>
          <t>À exécuter</t>
        </is>
      </c>
      <c r="K17" s="34" t="n"/>
      <c r="L17" s="34" t="n"/>
      <c r="M17" s="34" t="n"/>
      <c r="N17" s="34" t="n"/>
    </row>
    <row r="18" ht="15" customHeight="1" s="20">
      <c r="A18" s="33" t="inlineStr">
        <is>
          <t>CT-ADM-015</t>
        </is>
      </c>
      <c r="B18" s="33" t="inlineStr">
        <is>
          <t>Modification catégorie</t>
        </is>
      </c>
      <c r="C18" s="33" t="inlineStr">
        <is>
          <t>Intégration</t>
        </is>
      </c>
      <c r="D18" s="33" t="inlineStr">
        <is>
          <t>Moyenne</t>
        </is>
      </c>
      <c r="E18" s="33" t="inlineStr">
        <is>
          <t>Catégorie existante</t>
        </is>
      </c>
      <c r="F18" s="33" t="inlineStr">
        <is>
          <t>—</t>
        </is>
      </c>
      <c r="G18" s="33" t="inlineStr">
        <is>
          <t>PUT /api/emotions/categories/[id]</t>
        </is>
      </c>
      <c r="H18" s="33" t="inlineStr">
        <is>
          <t>HTTP 200 + catégorie modifiée</t>
        </is>
      </c>
      <c r="I18" s="33" t="inlineStr">
        <is>
          <t>Manuel</t>
        </is>
      </c>
      <c r="J18" s="33" t="inlineStr">
        <is>
          <t>À exécuter</t>
        </is>
      </c>
      <c r="K18" s="33" t="n"/>
      <c r="L18" s="33" t="n"/>
      <c r="M18" s="33" t="n"/>
      <c r="N18" s="33" t="n"/>
    </row>
    <row r="19" ht="15" customHeight="1" s="20">
      <c r="A19" s="34" t="inlineStr">
        <is>
          <t>CT-ADM-016</t>
        </is>
      </c>
      <c r="B19" s="34" t="inlineStr">
        <is>
          <t>Suppression catégorie cascade émotions</t>
        </is>
      </c>
      <c r="C19" s="34" t="inlineStr">
        <is>
          <t>Intégration</t>
        </is>
      </c>
      <c r="D19" s="34" t="inlineStr">
        <is>
          <t>Moyenne</t>
        </is>
      </c>
      <c r="E19" s="34" t="inlineStr">
        <is>
          <t>Catégorie avec émotions liées</t>
        </is>
      </c>
      <c r="F19" s="34" t="inlineStr">
        <is>
          <t>—</t>
        </is>
      </c>
      <c r="G19" s="34" t="inlineStr">
        <is>
          <t>DELETE /api/emotions/categories/[id]</t>
        </is>
      </c>
      <c r="H19" s="34" t="inlineStr">
        <is>
          <t>Cascade ON DELETE supprime les émotions liées</t>
        </is>
      </c>
      <c r="I19" s="34" t="inlineStr">
        <is>
          <t>Manuel</t>
        </is>
      </c>
      <c r="J19" s="34" t="inlineStr">
        <is>
          <t>À exécuter</t>
        </is>
      </c>
      <c r="K19" s="34" t="n"/>
      <c r="L19" s="34" t="n"/>
      <c r="M19" s="34" t="n"/>
      <c r="N19" s="34" t="n"/>
    </row>
    <row r="20" ht="15" customHeight="1" s="20">
      <c r="A20" s="33" t="inlineStr">
        <is>
          <t>CT-ADM-017</t>
        </is>
      </c>
      <c r="B20" s="33" t="inlineStr">
        <is>
          <t>Validation regex couleur hexa</t>
        </is>
      </c>
      <c r="C20" s="33" t="inlineStr">
        <is>
          <t>Intégration</t>
        </is>
      </c>
      <c r="D20" s="33" t="inlineStr">
        <is>
          <t>Basse</t>
        </is>
      </c>
      <c r="E20" s="33" t="inlineStr">
        <is>
          <t>—</t>
        </is>
      </c>
      <c r="F20" s="33" t="inlineStr">
        <is>
          <t>colorHex='pas-une-couleur'</t>
        </is>
      </c>
      <c r="G20" s="33" t="inlineStr">
        <is>
          <t>POST/PUT catégorie avec couleur invalide</t>
        </is>
      </c>
      <c r="H20" s="33" t="inlineStr">
        <is>
          <t>HTTP 400</t>
        </is>
      </c>
      <c r="I20" s="33" t="inlineStr">
        <is>
          <t>À ajouter</t>
        </is>
      </c>
      <c r="J20" s="33" t="inlineStr">
        <is>
          <t>À exécuter</t>
        </is>
      </c>
      <c r="K20" s="33" t="n"/>
      <c r="L20" s="33" t="n"/>
      <c r="M20" s="33" t="n"/>
      <c r="N20" s="33" t="n"/>
    </row>
    <row r="21" ht="15" customHeight="1" s="20">
      <c r="A21" s="34" t="inlineStr">
        <is>
          <t>CT-ADM-018</t>
        </is>
      </c>
      <c r="B21" s="34" t="inlineStr">
        <is>
          <t>Validation slug article unique</t>
        </is>
      </c>
      <c r="C21" s="34" t="inlineStr">
        <is>
          <t>Intégration</t>
        </is>
      </c>
      <c r="D21" s="34" t="inlineStr">
        <is>
          <t>Haute</t>
        </is>
      </c>
      <c r="E21" s="34" t="inlineStr">
        <is>
          <t>Article avec slug='dup'</t>
        </is>
      </c>
      <c r="F21" s="34" t="inlineStr">
        <is>
          <t>—</t>
        </is>
      </c>
      <c r="G21" s="34" t="inlineStr">
        <is>
          <t>Créer 2 articles avec le même slug</t>
        </is>
      </c>
      <c r="H21" s="34" t="inlineStr">
        <is>
          <t>2e tentative → HTTP 409</t>
        </is>
      </c>
      <c r="I21" s="34" t="inlineStr">
        <is>
          <t>✅ tests/integration/articles-crud.test.ts + articles.test.ts</t>
        </is>
      </c>
      <c r="J21" s="34" t="inlineStr">
        <is>
          <t>À exécuter</t>
        </is>
      </c>
      <c r="K21" s="34" t="n"/>
      <c r="L21" s="34" t="n"/>
      <c r="M21" s="34" t="n"/>
      <c r="N21" s="34" t="n"/>
    </row>
    <row r="22">
      <c r="A22" s="40" t="inlineStr">
        <is>
          <t>CT-ADM-019</t>
        </is>
      </c>
      <c r="B22" s="40" t="inlineStr">
        <is>
          <t>GET /api/admin/stats → 403 sans session admin</t>
        </is>
      </c>
      <c r="C22" s="40" t="inlineStr">
        <is>
          <t>Intégration</t>
        </is>
      </c>
      <c r="D22" s="40" t="inlineStr">
        <is>
          <t>Bloquant (sécurité)</t>
        </is>
      </c>
      <c r="E22" s="40" t="inlineStr">
        <is>
          <t>Aucune session admin</t>
        </is>
      </c>
      <c r="F22" s="40" t="inlineStr">
        <is>
          <t>—</t>
        </is>
      </c>
      <c r="G22" s="40" t="inlineStr">
        <is>
          <t>GET /api/admin/stats sans session</t>
        </is>
      </c>
      <c r="H22" s="40" t="inlineStr">
        <is>
          <t>HTTP 403</t>
        </is>
      </c>
      <c r="I22" s="40" t="inlineStr">
        <is>
          <t>✅ tests/integration/admin.test.ts</t>
        </is>
      </c>
      <c r="J22" s="40" t="inlineStr">
        <is>
          <t>À exécuter</t>
        </is>
      </c>
      <c r="K22" s="40" t="n"/>
      <c r="L22" s="40" t="n"/>
      <c r="M22" s="40" t="n"/>
      <c r="N22" s="40" t="n"/>
    </row>
    <row r="23">
      <c r="A23" s="40" t="inlineStr">
        <is>
          <t>CT-ADM-020</t>
        </is>
      </c>
      <c r="B23" s="40" t="inlineStr">
        <is>
          <t>PATCH user → 403 sans session admin</t>
        </is>
      </c>
      <c r="C23" s="40" t="inlineStr">
        <is>
          <t>Intégration</t>
        </is>
      </c>
      <c r="D23" s="40" t="inlineStr">
        <is>
          <t>Bloquant (sécurité)</t>
        </is>
      </c>
      <c r="E23" s="40" t="inlineStr">
        <is>
          <t>Aucune session admin</t>
        </is>
      </c>
      <c r="F23" s="40" t="inlineStr">
        <is>
          <t>—</t>
        </is>
      </c>
      <c r="G23" s="40" t="inlineStr">
        <is>
          <t>PATCH /api/admin/users/[id] sans session</t>
        </is>
      </c>
      <c r="H23" s="40" t="inlineStr">
        <is>
          <t>HTTP 403</t>
        </is>
      </c>
      <c r="I23" s="40" t="inlineStr">
        <is>
          <t>✅ tests/integration/admin.test.ts</t>
        </is>
      </c>
      <c r="J23" s="40" t="inlineStr">
        <is>
          <t>À exécuter</t>
        </is>
      </c>
      <c r="K23" s="40" t="n"/>
      <c r="L23" s="40" t="n"/>
      <c r="M23" s="40" t="n"/>
      <c r="N23" s="40" t="n"/>
    </row>
    <row r="24">
      <c r="A24" s="40" t="inlineStr">
        <is>
          <t>CT-ADM-021</t>
        </is>
      </c>
      <c r="B24" s="40" t="inlineStr">
        <is>
          <t>PATCH user → 404 quand user inexistant</t>
        </is>
      </c>
      <c r="C24" s="40" t="inlineStr">
        <is>
          <t>Intégration</t>
        </is>
      </c>
      <c r="D24" s="40" t="inlineStr">
        <is>
          <t>Haute</t>
        </is>
      </c>
      <c r="E24" s="40" t="inlineStr">
        <is>
          <t>Session admin</t>
        </is>
      </c>
      <c r="F24" s="40" t="inlineStr">
        <is>
          <t>id=00000000-0000-0000-0000-000000000000</t>
        </is>
      </c>
      <c r="G24" s="40" t="inlineStr">
        <is>
          <t>PATCH /api/admin/users/[id] avec action=toggleBan</t>
        </is>
      </c>
      <c r="H24" s="40" t="inlineStr">
        <is>
          <t>HTTP 404</t>
        </is>
      </c>
      <c r="I24" s="40" t="inlineStr">
        <is>
          <t>✅ tests/integration/admin.test.ts</t>
        </is>
      </c>
      <c r="J24" s="40" t="inlineStr">
        <is>
          <t>À exécuter</t>
        </is>
      </c>
      <c r="K24" s="40" t="n"/>
      <c r="L24" s="40" t="n"/>
      <c r="M24" s="40" t="n"/>
      <c r="N24" s="40" t="n"/>
    </row>
    <row r="25">
      <c r="A25" s="40" t="inlineStr">
        <is>
          <t>CT-ADM-022</t>
        </is>
      </c>
      <c r="B25" s="40" t="inlineStr">
        <is>
          <t>PATCH toggleRole rétrograde un admin en user</t>
        </is>
      </c>
      <c r="C25" s="40" t="inlineStr">
        <is>
          <t>Intégration</t>
        </is>
      </c>
      <c r="D25" s="40" t="inlineStr">
        <is>
          <t>Haute</t>
        </is>
      </c>
      <c r="E25" s="40" t="inlineStr">
        <is>
          <t>Session admin, cible est admin</t>
        </is>
      </c>
      <c r="F25" s="40" t="inlineStr">
        <is>
          <t>{ action: "toggleRole" }</t>
        </is>
      </c>
      <c r="G25" s="40" t="inlineStr">
        <is>
          <t>PATCH /api/admin/users/[id]</t>
        </is>
      </c>
      <c r="H25" s="40" t="inlineStr">
        <is>
          <t>HTTP 200 — rôle modifié</t>
        </is>
      </c>
      <c r="I25" s="40" t="inlineStr">
        <is>
          <t>✅ tests/integration/admin.test.ts</t>
        </is>
      </c>
      <c r="J25" s="40" t="inlineStr">
        <is>
          <t>À exécuter</t>
        </is>
      </c>
      <c r="K25" s="40" t="n"/>
      <c r="L25" s="40" t="n"/>
      <c r="M25" s="40" t="n"/>
      <c r="N25" s="40" t="n"/>
    </row>
    <row r="26">
      <c r="A26" s="40" t="inlineStr">
        <is>
          <t>CT-ADM-023</t>
        </is>
      </c>
      <c r="B26" s="40" t="inlineStr">
        <is>
          <t>PATCH action invalide → 400</t>
        </is>
      </c>
      <c r="C26" s="40" t="inlineStr">
        <is>
          <t>Intégration</t>
        </is>
      </c>
      <c r="D26" s="40" t="inlineStr">
        <is>
          <t>Moyenne</t>
        </is>
      </c>
      <c r="E26" s="40" t="inlineStr">
        <is>
          <t>Session admin, cible existante</t>
        </is>
      </c>
      <c r="F26" s="40" t="inlineStr">
        <is>
          <t>{ action: "invalidAction" }</t>
        </is>
      </c>
      <c r="G26" s="40" t="inlineStr">
        <is>
          <t>PATCH /api/admin/users/[id]</t>
        </is>
      </c>
      <c r="H26" s="40" t="inlineStr">
        <is>
          <t>HTTP 400</t>
        </is>
      </c>
      <c r="I26" s="40" t="inlineStr">
        <is>
          <t>✅ tests/integration/admin.test.ts</t>
        </is>
      </c>
      <c r="J26" s="40" t="inlineStr">
        <is>
          <t>À exécuter</t>
        </is>
      </c>
      <c r="K26" s="40" t="n"/>
      <c r="L26" s="40" t="n"/>
      <c r="M26" s="40" t="n"/>
      <c r="N26" s="40" t="n"/>
    </row>
    <row r="27">
      <c r="A27" s="40" t="inlineStr">
        <is>
          <t>CT-ADM-024</t>
        </is>
      </c>
      <c r="B27" s="40" t="inlineStr">
        <is>
          <t>DELETE user → 403 sans session admin</t>
        </is>
      </c>
      <c r="C27" s="40" t="inlineStr">
        <is>
          <t>Intégration</t>
        </is>
      </c>
      <c r="D27" s="40" t="inlineStr">
        <is>
          <t>Bloquant (sécurité)</t>
        </is>
      </c>
      <c r="E27" s="40" t="inlineStr">
        <is>
          <t>Aucune session admin</t>
        </is>
      </c>
      <c r="F27" s="40" t="inlineStr">
        <is>
          <t>—</t>
        </is>
      </c>
      <c r="G27" s="40" t="inlineStr">
        <is>
          <t>DELETE /api/admin/users/[id] sans session</t>
        </is>
      </c>
      <c r="H27" s="40" t="inlineStr">
        <is>
          <t>HTTP 403</t>
        </is>
      </c>
      <c r="I27" s="40" t="inlineStr">
        <is>
          <t>✅ tests/integration/admin.test.ts</t>
        </is>
      </c>
      <c r="J27" s="40" t="inlineStr">
        <is>
          <t>À exécuter</t>
        </is>
      </c>
      <c r="K27" s="40" t="n"/>
      <c r="L27" s="40" t="n"/>
      <c r="M27" s="40" t="n"/>
      <c r="N27" s="40" t="n"/>
    </row>
    <row r="28">
      <c r="A28" s="40" t="inlineStr">
        <is>
          <t>CT-ADM-025</t>
        </is>
      </c>
      <c r="B28" s="40" t="inlineStr">
        <is>
          <t>DELETE user → 400 auto-suppression interdite</t>
        </is>
      </c>
      <c r="C28" s="40" t="inlineStr">
        <is>
          <t>Intégration</t>
        </is>
      </c>
      <c r="D28" s="40" t="inlineStr">
        <is>
          <t>Bloquant (sécurité)</t>
        </is>
      </c>
      <c r="E28" s="40" t="inlineStr">
        <is>
          <t>Session admin</t>
        </is>
      </c>
      <c r="F28" s="40" t="inlineStr">
        <is>
          <t>id = propre compte admin</t>
        </is>
      </c>
      <c r="G28" s="40" t="inlineStr">
        <is>
          <t>DELETE /api/admin/users/[propre id]</t>
        </is>
      </c>
      <c r="H28" s="40" t="inlineStr">
        <is>
          <t>HTTP 400</t>
        </is>
      </c>
      <c r="I28" s="40" t="inlineStr">
        <is>
          <t>✅ tests/integration/admin.test.ts</t>
        </is>
      </c>
      <c r="J28" s="40" t="inlineStr">
        <is>
          <t>À exécuter</t>
        </is>
      </c>
      <c r="K28" s="40" t="n"/>
      <c r="L28" s="40" t="n"/>
      <c r="M28" s="40" t="n"/>
      <c r="N28" s="40" t="n"/>
    </row>
    <row r="29">
      <c r="A29" s="40" t="inlineStr">
        <is>
          <t>CT-ADM-026</t>
        </is>
      </c>
      <c r="B29" s="40" t="inlineStr">
        <is>
          <t>DELETE user → 404 quand user inexistant</t>
        </is>
      </c>
      <c r="C29" s="40" t="inlineStr">
        <is>
          <t>Intégration</t>
        </is>
      </c>
      <c r="D29" s="40" t="inlineStr">
        <is>
          <t>Haute</t>
        </is>
      </c>
      <c r="E29" s="40" t="inlineStr">
        <is>
          <t>Session admin</t>
        </is>
      </c>
      <c r="F29" s="40" t="inlineStr">
        <is>
          <t>id=00000000-0000-0000-0000-000000000000</t>
        </is>
      </c>
      <c r="G29" s="40" t="inlineStr">
        <is>
          <t>DELETE /api/admin/users/[id]</t>
        </is>
      </c>
      <c r="H29" s="40" t="inlineStr">
        <is>
          <t>HTTP 404</t>
        </is>
      </c>
      <c r="I29" s="40" t="inlineStr">
        <is>
          <t>✅ tests/integration/admin.test.ts</t>
        </is>
      </c>
      <c r="J29" s="40" t="inlineStr">
        <is>
          <t>À exécuter</t>
        </is>
      </c>
      <c r="K29" s="40" t="n"/>
      <c r="L29" s="40" t="n"/>
      <c r="M29" s="40" t="n"/>
      <c r="N29" s="40" t="n"/>
    </row>
    <row r="30">
      <c r="A30" s="40" t="inlineStr">
        <is>
          <t>CT-ADM-027</t>
        </is>
      </c>
      <c r="B30" s="40" t="inlineStr">
        <is>
          <t>PUT article → 403 sans session admin</t>
        </is>
      </c>
      <c r="C30" s="40" t="inlineStr">
        <is>
          <t>Intégration</t>
        </is>
      </c>
      <c r="D30" s="40" t="inlineStr">
        <is>
          <t>Bloquant (sécurité)</t>
        </is>
      </c>
      <c r="E30" s="40" t="inlineStr">
        <is>
          <t>Aucune session admin</t>
        </is>
      </c>
      <c r="F30" s="40" t="inlineStr">
        <is>
          <t>—</t>
        </is>
      </c>
      <c r="G30" s="40" t="inlineStr">
        <is>
          <t>PUT /api/articles/[id] sans session</t>
        </is>
      </c>
      <c r="H30" s="40" t="inlineStr">
        <is>
          <t>HTTP 403</t>
        </is>
      </c>
      <c r="I30" s="40" t="inlineStr">
        <is>
          <t>✅ tests/integration/articles-crud.test.ts</t>
        </is>
      </c>
      <c r="J30" s="40" t="inlineStr">
        <is>
          <t>À exécuter</t>
        </is>
      </c>
      <c r="K30" s="40" t="n"/>
      <c r="L30" s="40" t="n"/>
      <c r="M30" s="40" t="n"/>
      <c r="N30" s="40" t="n"/>
    </row>
    <row r="31">
      <c r="A31" s="40" t="inlineStr">
        <is>
          <t>CT-ADM-028</t>
        </is>
      </c>
      <c r="B31" s="40" t="inlineStr">
        <is>
          <t>PUT article → 400 validation</t>
        </is>
      </c>
      <c r="C31" s="40" t="inlineStr">
        <is>
          <t>Intégration</t>
        </is>
      </c>
      <c r="D31" s="40" t="inlineStr">
        <is>
          <t>Haute</t>
        </is>
      </c>
      <c r="E31" s="40" t="inlineStr">
        <is>
          <t>Session admin</t>
        </is>
      </c>
      <c r="F31" s="40" t="inlineStr">
        <is>
          <t>{ title: "", slug: "", content: "" }</t>
        </is>
      </c>
      <c r="G31" s="40" t="inlineStr">
        <is>
          <t>PUT /api/articles/[id]</t>
        </is>
      </c>
      <c r="H31" s="40" t="inlineStr">
        <is>
          <t>HTTP 400 — body.fieldErrors défini</t>
        </is>
      </c>
      <c r="I31" s="40" t="inlineStr">
        <is>
          <t>✅ tests/integration/articles-crud.test.ts</t>
        </is>
      </c>
      <c r="J31" s="40" t="inlineStr">
        <is>
          <t>À exécuter</t>
        </is>
      </c>
      <c r="K31" s="40" t="n"/>
      <c r="L31" s="40" t="n"/>
      <c r="M31" s="40" t="n"/>
      <c r="N31" s="40" t="n"/>
    </row>
    <row r="32">
      <c r="A32" s="40" t="inlineStr">
        <is>
          <t>CT-ADM-029</t>
        </is>
      </c>
      <c r="B32" s="40" t="inlineStr">
        <is>
          <t>PUT article → 409 conflit de slug</t>
        </is>
      </c>
      <c r="C32" s="40" t="inlineStr">
        <is>
          <t>Intégration</t>
        </is>
      </c>
      <c r="D32" s="40" t="inlineStr">
        <is>
          <t>Haute</t>
        </is>
      </c>
      <c r="E32" s="40" t="inlineStr">
        <is>
          <t>Session admin, deux articles en base</t>
        </is>
      </c>
      <c r="F32" s="40" t="inlineStr">
        <is>
          <t>slug de art1 utilisé pour art2</t>
        </is>
      </c>
      <c r="G32" s="40" t="inlineStr">
        <is>
          <t>PUT /api/articles/[art2.id] avec slug="art1"</t>
        </is>
      </c>
      <c r="H32" s="40" t="inlineStr">
        <is>
          <t>HTTP 409</t>
        </is>
      </c>
      <c r="I32" s="40" t="inlineStr">
        <is>
          <t>✅ tests/integration/articles-crud.test.ts</t>
        </is>
      </c>
      <c r="J32" s="40" t="inlineStr">
        <is>
          <t>À exécuter</t>
        </is>
      </c>
      <c r="K32" s="40" t="n"/>
      <c r="L32" s="40" t="n"/>
      <c r="M32" s="40" t="n"/>
      <c r="N32" s="40" t="n"/>
    </row>
    <row r="33">
      <c r="A33" s="40" t="inlineStr">
        <is>
          <t>CT-ADM-030</t>
        </is>
      </c>
      <c r="B33" s="40" t="inlineStr">
        <is>
          <t>PUT article avec même slug → pas de conflit</t>
        </is>
      </c>
      <c r="C33" s="40" t="inlineStr">
        <is>
          <t>Intégration</t>
        </is>
      </c>
      <c r="D33" s="40" t="inlineStr">
        <is>
          <t>Haute</t>
        </is>
      </c>
      <c r="E33" s="40" t="inlineStr">
        <is>
          <t>Session admin</t>
        </is>
      </c>
      <c r="F33" s="40" t="inlineStr">
        <is>
          <t>Même slug que l'article modifié</t>
        </is>
      </c>
      <c r="G33" s="40" t="inlineStr">
        <is>
          <t>PUT /api/articles/[id] avec son propre slug</t>
        </is>
      </c>
      <c r="H33" s="40" t="inlineStr">
        <is>
          <t>HTTP 200</t>
        </is>
      </c>
      <c r="I33" s="40" t="inlineStr">
        <is>
          <t>✅ tests/integration/articles-crud.test.ts</t>
        </is>
      </c>
      <c r="J33" s="40" t="inlineStr">
        <is>
          <t>À exécuter</t>
        </is>
      </c>
      <c r="K33" s="40" t="n"/>
      <c r="L33" s="40" t="n"/>
      <c r="M33" s="40" t="n"/>
      <c r="N33" s="40" t="n"/>
    </row>
    <row r="34">
      <c r="A34" s="40" t="inlineStr">
        <is>
          <t>CT-ADM-031</t>
        </is>
      </c>
      <c r="B34" s="40" t="inlineStr">
        <is>
          <t>DELETE article → 403 sans session admin</t>
        </is>
      </c>
      <c r="C34" s="40" t="inlineStr">
        <is>
          <t>Intégration</t>
        </is>
      </c>
      <c r="D34" s="40" t="inlineStr">
        <is>
          <t>Bloquant (sécurité)</t>
        </is>
      </c>
      <c r="E34" s="40" t="inlineStr">
        <is>
          <t>Aucune session admin</t>
        </is>
      </c>
      <c r="F34" s="40" t="inlineStr">
        <is>
          <t>—</t>
        </is>
      </c>
      <c r="G34" s="40" t="inlineStr">
        <is>
          <t>DELETE /api/articles/[id] sans session</t>
        </is>
      </c>
      <c r="H34" s="40" t="inlineStr">
        <is>
          <t>HTTP 403</t>
        </is>
      </c>
      <c r="I34" s="40" t="inlineStr">
        <is>
          <t>✅ tests/integration/articles-crud.test.ts</t>
        </is>
      </c>
      <c r="J34" s="40" t="inlineStr">
        <is>
          <t>À exécuter</t>
        </is>
      </c>
      <c r="K34" s="40" t="n"/>
      <c r="L34" s="40" t="n"/>
      <c r="M34" s="40" t="n"/>
      <c r="N34" s="40" t="n"/>
    </row>
    <row r="35">
      <c r="A35" s="40" t="inlineStr">
        <is>
          <t>CT-ADM-032</t>
        </is>
      </c>
      <c r="B35" s="40" t="inlineStr">
        <is>
          <t>DELETE article → suppression nominale</t>
        </is>
      </c>
      <c r="C35" s="40" t="inlineStr">
        <is>
          <t>Intégration</t>
        </is>
      </c>
      <c r="D35" s="40" t="inlineStr">
        <is>
          <t>Haute</t>
        </is>
      </c>
      <c r="E35" s="40" t="inlineStr">
        <is>
          <t>Session admin, article existant</t>
        </is>
      </c>
      <c r="F35" s="40" t="inlineStr">
        <is>
          <t>—</t>
        </is>
      </c>
      <c r="G35" s="40" t="inlineStr">
        <is>
          <t>DELETE /api/articles/[id]</t>
        </is>
      </c>
      <c r="H35" s="40" t="inlineStr">
        <is>
          <t>HTTP 200 — body.success === true</t>
        </is>
      </c>
      <c r="I35" s="40" t="inlineStr">
        <is>
          <t>✅ tests/integration/articles-crud.test.ts</t>
        </is>
      </c>
      <c r="J35" s="40" t="inlineStr">
        <is>
          <t>À exécuter</t>
        </is>
      </c>
      <c r="K35" s="40" t="n"/>
      <c r="L35" s="40" t="n"/>
      <c r="M35" s="40" t="n"/>
      <c r="N35" s="40" t="n"/>
    </row>
    <row r="36">
      <c r="A36" s="40" t="inlineStr">
        <is>
          <t>CT-ADM-033</t>
        </is>
      </c>
      <c r="B36" s="40" t="inlineStr">
        <is>
          <t>POST article → 403 sans session admin</t>
        </is>
      </c>
      <c r="C36" s="40" t="inlineStr">
        <is>
          <t>Intégration</t>
        </is>
      </c>
      <c r="D36" s="40" t="inlineStr">
        <is>
          <t>Bloquant (sécurité)</t>
        </is>
      </c>
      <c r="E36" s="40" t="inlineStr">
        <is>
          <t>Aucune session admin</t>
        </is>
      </c>
      <c r="F36" s="40" t="inlineStr">
        <is>
          <t>—</t>
        </is>
      </c>
      <c r="G36" s="40" t="inlineStr">
        <is>
          <t>POST /api/articles sans session</t>
        </is>
      </c>
      <c r="H36" s="40" t="inlineStr">
        <is>
          <t>HTTP 403</t>
        </is>
      </c>
      <c r="I36" s="40" t="inlineStr">
        <is>
          <t>✅ tests/integration/articles.test.ts</t>
        </is>
      </c>
      <c r="J36" s="40" t="inlineStr">
        <is>
          <t>À exécuter</t>
        </is>
      </c>
      <c r="K36" s="40" t="n"/>
      <c r="L36" s="40" t="n"/>
      <c r="M36" s="40" t="n"/>
      <c r="N36" s="40" t="n"/>
    </row>
    <row r="37">
      <c r="A37" s="40" t="inlineStr">
        <is>
          <t>CT-ADM-034</t>
        </is>
      </c>
      <c r="B37" s="40" t="inlineStr">
        <is>
          <t>POST article → 400 validation</t>
        </is>
      </c>
      <c r="C37" s="40" t="inlineStr">
        <is>
          <t>Intégration</t>
        </is>
      </c>
      <c r="D37" s="40" t="inlineStr">
        <is>
          <t>Haute</t>
        </is>
      </c>
      <c r="E37" s="40" t="inlineStr">
        <is>
          <t>Session admin</t>
        </is>
      </c>
      <c r="F37" s="40" t="inlineStr">
        <is>
          <t>{ title: "", slug: "", content: "" }</t>
        </is>
      </c>
      <c r="G37" s="40" t="inlineStr">
        <is>
          <t>POST /api/articles</t>
        </is>
      </c>
      <c r="H37" s="40" t="inlineStr">
        <is>
          <t>HTTP 400 — body.fieldErrors défini</t>
        </is>
      </c>
      <c r="I37" s="40" t="inlineStr">
        <is>
          <t>✅ tests/integration/articles.test.ts</t>
        </is>
      </c>
      <c r="J37" s="40" t="inlineStr">
        <is>
          <t>À exécuter</t>
        </is>
      </c>
      <c r="K37" s="40" t="n"/>
      <c r="L37" s="40" t="n"/>
      <c r="M37" s="40" t="n"/>
      <c r="N37" s="40" t="n"/>
    </row>
    <row r="38">
      <c r="A38" s="40" t="inlineStr">
        <is>
          <t>CT-ADM-035</t>
        </is>
      </c>
      <c r="B38" s="40" t="inlineStr">
        <is>
          <t>POST article → 409 conflit de slug</t>
        </is>
      </c>
      <c r="C38" s="40" t="inlineStr">
        <is>
          <t>Intégration</t>
        </is>
      </c>
      <c r="D38" s="40" t="inlineStr">
        <is>
          <t>Haute</t>
        </is>
      </c>
      <c r="E38" s="40" t="inlineStr">
        <is>
          <t>Session admin, article "existing" déjà en base</t>
        </is>
      </c>
      <c r="F38" s="40" t="inlineStr">
        <is>
          <t>{ slug: "existing" }</t>
        </is>
      </c>
      <c r="G38" s="40" t="inlineStr">
        <is>
          <t>POST /api/articles</t>
        </is>
      </c>
      <c r="H38" s="40" t="inlineStr">
        <is>
          <t>HTTP 409</t>
        </is>
      </c>
      <c r="I38" s="40" t="inlineStr">
        <is>
          <t>✅ tests/integration/articles.test.ts</t>
        </is>
      </c>
      <c r="J38" s="40" t="inlineStr">
        <is>
          <t>À exécuter</t>
        </is>
      </c>
      <c r="K38" s="40" t="n"/>
      <c r="L38" s="40" t="n"/>
      <c r="M38" s="40" t="n"/>
      <c r="N38" s="40" t="n"/>
    </row>
  </sheetData>
  <autoFilter ref="A3:N21"/>
  <mergeCells count="1">
    <mergeCell ref="A1:N1"/>
  </mergeCells>
  <conditionalFormatting sqref="D4:D21">
    <cfRule type="cellIs" rank="0" priority="2" equalAverage="0" operator="equal" aboveAverage="0" dxfId="0" text="" percent="0" bottom="0">
      <formula>"Bloquant"</formula>
    </cfRule>
    <cfRule type="cellIs" rank="0" priority="3" equalAverage="0" operator="equal" aboveAverage="0" dxfId="0" text="" percent="0" bottom="0">
      <formula>"Bloquant (sécurité)"</formula>
    </cfRule>
    <cfRule type="cellIs" rank="0" priority="4" equalAverage="0" operator="equal" aboveAverage="0" dxfId="0" text="" percent="0" bottom="0">
      <formula>"Bloquant (RGPD)"</formula>
    </cfRule>
    <cfRule type="cellIs" rank="0" priority="5" equalAverage="0" operator="equal" aboveAverage="0" dxfId="0" text="" percent="0" bottom="0">
      <formula>"Bloquante"</formula>
    </cfRule>
    <cfRule type="cellIs" rank="0" priority="6" equalAverage="0" operator="equal" aboveAverage="0" dxfId="1" text="" percent="0" bottom="0">
      <formula>"Haute"</formula>
    </cfRule>
    <cfRule type="cellIs" rank="0" priority="7" equalAverage="0" operator="equal" aboveAverage="0" dxfId="1" text="" percent="0" bottom="0">
      <formula>"Haute (sécurité)"</formula>
    </cfRule>
    <cfRule type="cellIs" rank="0" priority="8" equalAverage="0" operator="equal" aboveAverage="0" dxfId="1" text="" percent="0" bottom="0">
      <formula>"Majeur"</formula>
    </cfRule>
    <cfRule type="cellIs" rank="0" priority="9" equalAverage="0" operator="equal" aboveAverage="0" dxfId="1" text="" percent="0" bottom="0">
      <formula>"Majeure"</formula>
    </cfRule>
    <cfRule type="cellIs" rank="0" priority="10" equalAverage="0" operator="equal" aboveAverage="0" dxfId="2" text="" percent="0" bottom="0">
      <formula>"Moyenne"</formula>
    </cfRule>
    <cfRule type="cellIs" rank="0" priority="11" equalAverage="0" operator="equal" aboveAverage="0" dxfId="2" text="" percent="0" bottom="0">
      <formula>"Mineur"</formula>
    </cfRule>
    <cfRule type="cellIs" rank="0" priority="12" equalAverage="0" operator="equal" aboveAverage="0" dxfId="2" text="" percent="0" bottom="0">
      <formula>"Mineure"</formula>
    </cfRule>
    <cfRule type="cellIs" rank="0" priority="13" equalAverage="0" operator="equal" aboveAverage="0" dxfId="3" text="" percent="0" bottom="0">
      <formula>"Basse"</formula>
    </cfRule>
    <cfRule type="cellIs" rank="0" priority="14" equalAverage="0" operator="equal" aboveAverage="0" dxfId="3" text="" percent="0" bottom="0">
      <formula>"Cosmétique"</formula>
    </cfRule>
  </conditionalFormatting>
  <conditionalFormatting sqref="J4:J21">
    <cfRule type="cellIs" rank="0" priority="15" equalAverage="0" operator="equal" aboveAverage="0" dxfId="27" text="" percent="0" bottom="0">
      <formula>"OK"</formula>
    </cfRule>
    <cfRule type="cellIs" rank="0" priority="16" equalAverage="0" operator="equal" aboveAverage="0" dxfId="28" text="" percent="0" bottom="0">
      <formula>"KO"</formula>
    </cfRule>
    <cfRule type="cellIs" rank="0" priority="17" equalAverage="0" operator="equal" aboveAverage="0" dxfId="29" text="" percent="0" bottom="0">
      <formula>"Bloqué"</formula>
    </cfRule>
    <cfRule type="cellIs" rank="0" priority="18" equalAverage="0" operator="equal" aboveAverage="0" dxfId="30" text="" percent="0" bottom="0">
      <formula>"N/A"</formula>
    </cfRule>
    <cfRule type="cellIs" rank="0" priority="19" equalAverage="0" operator="equal" aboveAverage="0" dxfId="31" text="" percent="0" bottom="0">
      <formula>"À exécuter"</formula>
    </cfRule>
  </conditionalFormatting>
  <dataValidations count="2">
    <dataValidation sqref="J4:J21" showDropDown="0" showInputMessage="0" showErrorMessage="0" allowBlank="1" errorTitle="Statut invalide" error="Choisir une valeur dans la liste" promptTitle="Statut" prompt="Sélectionnez le statut d'exécution" type="list" errorStyle="stop" operator="between">
      <formula1>"OK,KO,Bloqué,N/A,À exécuter"</formula1>
      <formula2>0</formula2>
    </dataValidation>
    <dataValidation sqref="D4:D21" showDropDown="0" showInputMessage="0" showErrorMessage="0" allowBlank="1" type="list" errorStyle="stop" operator="between">
      <formula1>"Bloquant,Bloquant (sécurité),Bloquant (RGPD),Haute,Haute (sécurité),Moyenne,Basse"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N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4" customWidth="1" style="19" min="1" max="1"/>
    <col width="40" customWidth="1" style="19" min="2" max="2"/>
    <col width="14" customWidth="1" style="19" min="3" max="3"/>
    <col width="16" customWidth="1" style="19" min="4" max="4"/>
    <col width="30" customWidth="1" style="19" min="5" max="6"/>
    <col width="40" customWidth="1" style="19" min="7" max="7"/>
    <col width="45" customWidth="1" style="19" min="8" max="8"/>
    <col width="25" customWidth="1" style="19" min="9" max="9"/>
    <col width="15" customWidth="1" style="19" min="10" max="10"/>
    <col width="14" customWidth="1" style="19" min="11" max="11"/>
    <col width="18" customWidth="1" style="19" min="12" max="12"/>
    <col width="30" customWidth="1" style="19" min="13" max="13"/>
    <col width="16" customWidth="1" style="19" min="14" max="14"/>
  </cols>
  <sheetData>
    <row r="1" ht="27.75" customHeight="1" s="20">
      <c r="A1" s="21" t="inlineStr">
        <is>
          <t>11. Cas de test — MOB (Mobile spécifique)</t>
        </is>
      </c>
    </row>
    <row r="3" ht="30" customHeight="1" s="20">
      <c r="A3" s="32" t="inlineStr">
        <is>
          <t>ID</t>
        </is>
      </c>
      <c r="B3" s="32" t="inlineStr">
        <is>
          <t>Titre</t>
        </is>
      </c>
      <c r="C3" s="32" t="inlineStr">
        <is>
          <t>Niveau</t>
        </is>
      </c>
      <c r="D3" s="32" t="inlineStr">
        <is>
          <t>Criticité</t>
        </is>
      </c>
      <c r="E3" s="32" t="inlineStr">
        <is>
          <t>Préconditions</t>
        </is>
      </c>
      <c r="F3" s="32" t="inlineStr">
        <is>
          <t>Données</t>
        </is>
      </c>
      <c r="G3" s="32" t="inlineStr">
        <is>
          <t>Étapes</t>
        </is>
      </c>
      <c r="H3" s="32" t="inlineStr">
        <is>
          <t>Résultat attendu</t>
        </is>
      </c>
      <c r="I3" s="32" t="inlineStr">
        <is>
          <t>Automatisé</t>
        </is>
      </c>
      <c r="J3" s="32" t="inlineStr">
        <is>
          <t>Statut</t>
        </is>
      </c>
      <c r="K3" s="32" t="inlineStr">
        <is>
          <t>Date exécution</t>
        </is>
      </c>
      <c r="L3" s="32" t="inlineStr">
        <is>
          <t>Testeur</t>
        </is>
      </c>
      <c r="M3" s="32" t="inlineStr">
        <is>
          <t>Commentaire</t>
        </is>
      </c>
      <c r="N3" s="32" t="inlineStr">
        <is>
          <t>ID anomalie</t>
        </is>
      </c>
    </row>
    <row r="4" ht="20.25" customHeight="1" s="20">
      <c r="A4" s="33" t="inlineStr">
        <is>
          <t>CT-MOB-001</t>
        </is>
      </c>
      <c r="B4" s="33" t="inlineStr">
        <is>
          <t>Persistance de session après redémarrage</t>
        </is>
      </c>
      <c r="C4" s="33" t="inlineStr">
        <is>
          <t>Manuel</t>
        </is>
      </c>
      <c r="D4" s="33" t="inlineStr">
        <is>
          <t>Bloquant</t>
        </is>
      </c>
      <c r="E4" s="33" t="inlineStr">
        <is>
          <t>App installée</t>
        </is>
      </c>
      <c r="F4" s="33" t="inlineStr">
        <is>
          <t>—</t>
        </is>
      </c>
      <c r="G4" s="33" t="inlineStr">
        <is>
          <t>Login → tuer l'app → relancer</t>
        </is>
      </c>
      <c r="H4" s="33" t="inlineStr">
        <is>
          <t>Reste connecté (token relu depuis SecureStore, /api/auth/me répond)</t>
        </is>
      </c>
      <c r="I4" s="33" t="inlineStr">
        <is>
          <t>Partiel via Jest (mock SecureStore)</t>
        </is>
      </c>
      <c r="J4" s="33" t="inlineStr">
        <is>
          <t>À exécuter</t>
        </is>
      </c>
      <c r="K4" s="33" t="n"/>
      <c r="L4" s="33" t="n"/>
      <c r="M4" s="33" t="n"/>
      <c r="N4" s="33" t="n"/>
    </row>
    <row r="5" ht="15" customHeight="1" s="20">
      <c r="A5" s="34" t="inlineStr">
        <is>
          <t>CT-MOB-002</t>
        </is>
      </c>
      <c r="B5" s="34" t="inlineStr">
        <is>
          <t>Token effacé après logout</t>
        </is>
      </c>
      <c r="C5" s="34" t="inlineStr">
        <is>
          <t>Unitaire</t>
        </is>
      </c>
      <c r="D5" s="34" t="inlineStr">
        <is>
          <t>Bloquant (sécurité)</t>
        </is>
      </c>
      <c r="E5" s="34" t="inlineStr">
        <is>
          <t>App authentifiée</t>
        </is>
      </c>
      <c r="F5" s="34" t="inlineStr">
        <is>
          <t>—</t>
        </is>
      </c>
      <c r="G5" s="34" t="inlineStr">
        <is>
          <t>Login → Logout → relancer</t>
        </is>
      </c>
      <c r="H5" s="34" t="inlineStr">
        <is>
          <t>Affiche écran login (token absent)</t>
        </is>
      </c>
      <c r="I5" s="34" t="inlineStr">
        <is>
          <t>✅ Jest AuthContext.test.tsx</t>
        </is>
      </c>
      <c r="J5" s="34" t="inlineStr">
        <is>
          <t>À exécuter</t>
        </is>
      </c>
      <c r="K5" s="34" t="n"/>
      <c r="L5" s="34" t="n"/>
      <c r="M5" s="34" t="n"/>
      <c r="N5" s="34" t="n"/>
    </row>
    <row r="6" ht="15" customHeight="1" s="20">
      <c r="A6" s="33" t="inlineStr">
        <is>
          <t>CT-MOB-003</t>
        </is>
      </c>
      <c r="B6" s="33" t="inlineStr">
        <is>
          <t>Bearer token dans toutes les requêtes authentifiées</t>
        </is>
      </c>
      <c r="C6" s="33" t="inlineStr">
        <is>
          <t>Unitaire</t>
        </is>
      </c>
      <c r="D6" s="33" t="inlineStr">
        <is>
          <t>Bloquant</t>
        </is>
      </c>
      <c r="E6" s="33" t="inlineStr">
        <is>
          <t>App authentifiée</t>
        </is>
      </c>
      <c r="F6" s="33" t="inlineStr">
        <is>
          <t>—</t>
        </is>
      </c>
      <c r="G6" s="33" t="inlineStr">
        <is>
          <t>Inspecter une requête authentifiée (DevTools)</t>
        </is>
      </c>
      <c r="H6" s="33" t="inlineStr">
        <is>
          <t>Header Authorization: Bearer &lt;jwt&gt; présent</t>
        </is>
      </c>
      <c r="I6" s="33" t="inlineStr">
        <is>
          <t>✅ Jest api.test.ts</t>
        </is>
      </c>
      <c r="J6" s="33" t="inlineStr">
        <is>
          <t>À exécuter</t>
        </is>
      </c>
      <c r="K6" s="33" t="n"/>
      <c r="L6" s="33" t="n"/>
      <c r="M6" s="33" t="n"/>
      <c r="N6" s="33" t="n"/>
    </row>
    <row r="7" ht="15" customHeight="1" s="20">
      <c r="A7" s="34" t="inlineStr">
        <is>
          <t>CT-MOB-004</t>
        </is>
      </c>
      <c r="B7" s="34" t="inlineStr">
        <is>
          <t>Pas de Bearer pour les endpoints publics</t>
        </is>
      </c>
      <c r="C7" s="34" t="inlineStr">
        <is>
          <t>Unitaire</t>
        </is>
      </c>
      <c r="D7" s="34" t="inlineStr">
        <is>
          <t>Moyenne</t>
        </is>
      </c>
      <c r="E7" s="34" t="inlineStr">
        <is>
          <t>—</t>
        </is>
      </c>
      <c r="F7" s="34" t="inlineStr">
        <is>
          <t>—</t>
        </is>
      </c>
      <c r="G7" s="34" t="inlineStr">
        <is>
          <t>GET articles (publié)</t>
        </is>
      </c>
      <c r="H7" s="34" t="inlineStr">
        <is>
          <t>Pas de header Authorization (économie token, propreté)</t>
        </is>
      </c>
      <c r="I7" s="34" t="inlineStr">
        <is>
          <t>✅</t>
        </is>
      </c>
      <c r="J7" s="34" t="inlineStr">
        <is>
          <t>À exécuter</t>
        </is>
      </c>
      <c r="K7" s="34" t="n"/>
      <c r="L7" s="34" t="n"/>
      <c r="M7" s="34" t="n"/>
      <c r="N7" s="34" t="n"/>
    </row>
    <row r="8" ht="15" customHeight="1" s="20">
      <c r="A8" s="33" t="inlineStr">
        <is>
          <t>CT-MOB-005</t>
        </is>
      </c>
      <c r="B8" s="33" t="inlineStr">
        <is>
          <t>Erreur HTTP propage le body.error</t>
        </is>
      </c>
      <c r="C8" s="33" t="inlineStr">
        <is>
          <t>Unitaire</t>
        </is>
      </c>
      <c r="D8" s="33" t="inlineStr">
        <is>
          <t>Moyenne</t>
        </is>
      </c>
      <c r="E8" s="33" t="inlineStr">
        <is>
          <t>—</t>
        </is>
      </c>
      <c r="F8" s="33" t="inlineStr">
        <is>
          <t>—</t>
        </is>
      </c>
      <c r="G8" s="33" t="inlineStr">
        <is>
          <t>Provoquer une 401</t>
        </is>
      </c>
      <c r="H8" s="33" t="inlineStr">
        <is>
          <t>UI affiche le message du serveur</t>
        </is>
      </c>
      <c r="I8" s="33" t="inlineStr">
        <is>
          <t>✅ Jest</t>
        </is>
      </c>
      <c r="J8" s="33" t="inlineStr">
        <is>
          <t>À exécuter</t>
        </is>
      </c>
      <c r="K8" s="33" t="n"/>
      <c r="L8" s="33" t="n"/>
      <c r="M8" s="33" t="n"/>
      <c r="N8" s="33" t="n"/>
    </row>
    <row r="9" ht="15" customHeight="1" s="20">
      <c r="A9" s="34" t="inlineStr">
        <is>
          <t>CT-MOB-006</t>
        </is>
      </c>
      <c r="B9" s="34" t="inlineStr">
        <is>
          <t>Pull-to-refresh sur le journal</t>
        </is>
      </c>
      <c r="C9" s="34" t="inlineStr">
        <is>
          <t>Manuel</t>
        </is>
      </c>
      <c r="D9" s="34" t="inlineStr">
        <is>
          <t>Moyenne</t>
        </is>
      </c>
      <c r="E9" s="34" t="inlineStr">
        <is>
          <t>App authentifiée</t>
        </is>
      </c>
      <c r="F9" s="34" t="inlineStr">
        <is>
          <t>—</t>
        </is>
      </c>
      <c r="G9" s="34" t="inlineStr">
        <is>
          <t>Onglet Journal → tirer vers le bas</t>
        </is>
      </c>
      <c r="H9" s="34" t="inlineStr">
        <is>
          <t>Spinner + refetch via TanStack Query</t>
        </is>
      </c>
      <c r="I9" s="34" t="inlineStr">
        <is>
          <t>Manuel</t>
        </is>
      </c>
      <c r="J9" s="34" t="inlineStr">
        <is>
          <t>À exécuter</t>
        </is>
      </c>
      <c r="K9" s="34" t="n"/>
      <c r="L9" s="34" t="n"/>
      <c r="M9" s="34" t="n"/>
      <c r="N9" s="34" t="n"/>
    </row>
    <row r="10" ht="15" customHeight="1" s="20">
      <c r="A10" s="33" t="inlineStr">
        <is>
          <t>CT-MOB-007</t>
        </is>
      </c>
      <c r="B10" s="33" t="inlineStr">
        <is>
          <t>Cache TanStack Query staleTime</t>
        </is>
      </c>
      <c r="C10" s="33" t="inlineStr">
        <is>
          <t>Manuel</t>
        </is>
      </c>
      <c r="D10" s="33" t="inlineStr">
        <is>
          <t>Basse</t>
        </is>
      </c>
      <c r="E10" s="33" t="inlineStr">
        <is>
          <t>App authentifiée</t>
        </is>
      </c>
      <c r="F10" s="33" t="inlineStr">
        <is>
          <t>—</t>
        </is>
      </c>
      <c r="G10" s="33" t="inlineStr">
        <is>
          <t>Naviguer entre 2 onglets puis revenir</t>
        </is>
      </c>
      <c r="H10" s="33" t="inlineStr">
        <is>
          <t>Pas de re-fetch si &lt; 60s (staleTime configuré)</t>
        </is>
      </c>
      <c r="I10" s="33" t="inlineStr">
        <is>
          <t>Manuel</t>
        </is>
      </c>
      <c r="J10" s="33" t="inlineStr">
        <is>
          <t>À exécuter</t>
        </is>
      </c>
      <c r="K10" s="33" t="n"/>
      <c r="L10" s="33" t="n"/>
      <c r="M10" s="33" t="n"/>
      <c r="N10" s="33" t="n"/>
    </row>
    <row r="11" ht="15" customHeight="1" s="20">
      <c r="A11" s="34" t="inlineStr">
        <is>
          <t>CT-MOB-008</t>
        </is>
      </c>
      <c r="B11" s="34" t="inlineStr">
        <is>
          <t>Invalidation après création d'entrée</t>
        </is>
      </c>
      <c r="C11" s="34" t="inlineStr">
        <is>
          <t>Manuel</t>
        </is>
      </c>
      <c r="D11" s="34" t="inlineStr">
        <is>
          <t>Haute</t>
        </is>
      </c>
      <c r="E11" s="34" t="inlineStr">
        <is>
          <t>App authentifiée</t>
        </is>
      </c>
      <c r="F11" s="34" t="inlineStr">
        <is>
          <t>—</t>
        </is>
      </c>
      <c r="G11" s="34" t="inlineStr">
        <is>
          <t>Onglet Journal → ajouter une entrée → revenir</t>
        </is>
      </c>
      <c r="H11" s="34" t="inlineStr">
        <is>
          <t>Liste mise à jour (queryClient.invalidateQueries)</t>
        </is>
      </c>
      <c r="I11" s="34" t="inlineStr">
        <is>
          <t>Manuel</t>
        </is>
      </c>
      <c r="J11" s="34" t="inlineStr">
        <is>
          <t>À exécuter</t>
        </is>
      </c>
      <c r="K11" s="34" t="n"/>
      <c r="L11" s="34" t="n"/>
      <c r="M11" s="34" t="n"/>
      <c r="N11" s="34" t="n"/>
    </row>
    <row r="12" ht="20.25" customHeight="1" s="20">
      <c r="A12" s="33" t="inlineStr">
        <is>
          <t>CT-MOB-009</t>
        </is>
      </c>
      <c r="B12" s="33" t="inlineStr">
        <is>
          <t>Picker d'émotion en 2 étapes</t>
        </is>
      </c>
      <c r="C12" s="33" t="inlineStr">
        <is>
          <t>Manuel</t>
        </is>
      </c>
      <c r="D12" s="33" t="inlineStr">
        <is>
          <t>Haute</t>
        </is>
      </c>
      <c r="E12" s="33" t="inlineStr">
        <is>
          <t>App authentifiée</t>
        </is>
      </c>
      <c r="F12" s="33" t="inlineStr">
        <is>
          <t>—</t>
        </is>
      </c>
      <c r="G12" s="33" t="inlineStr">
        <is>
          <t>Nouvelle entrée → choisir catégorie → choisir émotion</t>
        </is>
      </c>
      <c r="H12" s="33" t="inlineStr">
        <is>
          <t>UI cohérente, sélection mémorisée</t>
        </is>
      </c>
      <c r="I12" s="33" t="inlineStr">
        <is>
          <t>Manuel</t>
        </is>
      </c>
      <c r="J12" s="33" t="inlineStr">
        <is>
          <t>À exécuter</t>
        </is>
      </c>
      <c r="K12" s="33" t="n"/>
      <c r="L12" s="33" t="n"/>
      <c r="M12" s="33" t="n"/>
      <c r="N12" s="33" t="n"/>
    </row>
    <row r="13" ht="20.25" customHeight="1" s="20">
      <c r="A13" s="34" t="inlineStr">
        <is>
          <t>CT-MOB-010</t>
        </is>
      </c>
      <c r="B13" s="34" t="inlineStr">
        <is>
          <t>Slider d'intensité 0-5</t>
        </is>
      </c>
      <c r="C13" s="34" t="inlineStr">
        <is>
          <t>Unitaire</t>
        </is>
      </c>
      <c r="D13" s="34" t="inlineStr">
        <is>
          <t>Moyenne</t>
        </is>
      </c>
      <c r="E13" s="34" t="inlineStr">
        <is>
          <t>—</t>
        </is>
      </c>
      <c r="F13" s="34" t="inlineStr">
        <is>
          <t>—</t>
        </is>
      </c>
      <c r="G13" s="34" t="inlineStr">
        <is>
          <t>Glisser le slider</t>
        </is>
      </c>
      <c r="H13" s="34" t="inlineStr">
        <is>
          <t>Valeur snap aux pas entiers, label change ('Faible' → 'Très élevée')</t>
        </is>
      </c>
      <c r="I13" s="34" t="inlineStr">
        <is>
          <t>✅ Jest IntensityPicker</t>
        </is>
      </c>
      <c r="J13" s="34" t="inlineStr">
        <is>
          <t>À exécuter</t>
        </is>
      </c>
      <c r="K13" s="34" t="n"/>
      <c r="L13" s="34" t="n"/>
      <c r="M13" s="34" t="n"/>
      <c r="N13" s="34" t="n"/>
    </row>
    <row r="14" ht="15" customHeight="1" s="20">
      <c r="A14" s="33" t="inlineStr">
        <is>
          <t>CT-MOB-011</t>
        </is>
      </c>
      <c r="B14" s="33" t="inlineStr">
        <is>
          <t>Calendrier journal — points colorés</t>
        </is>
      </c>
      <c r="C14" s="33" t="inlineStr">
        <is>
          <t>Manuel</t>
        </is>
      </c>
      <c r="D14" s="33" t="inlineStr">
        <is>
          <t>Moyenne</t>
        </is>
      </c>
      <c r="E14" s="33" t="inlineStr">
        <is>
          <t>Entrées en base</t>
        </is>
      </c>
      <c r="F14" s="33" t="inlineStr">
        <is>
          <t>—</t>
        </is>
      </c>
      <c r="G14" s="33" t="inlineStr">
        <is>
          <t>Onglet Journal → vue calendrier</t>
        </is>
      </c>
      <c r="H14" s="33" t="inlineStr">
        <is>
          <t>Dates avec entrée marquées d'un point primary</t>
        </is>
      </c>
      <c r="I14" s="33" t="inlineStr">
        <is>
          <t>Manuel</t>
        </is>
      </c>
      <c r="J14" s="33" t="inlineStr">
        <is>
          <t>À exécuter</t>
        </is>
      </c>
      <c r="K14" s="33" t="n"/>
      <c r="L14" s="33" t="n"/>
      <c r="M14" s="33" t="n"/>
      <c r="N14" s="33" t="n"/>
    </row>
    <row r="15" ht="15" customHeight="1" s="20">
      <c r="A15" s="34" t="inlineStr">
        <is>
          <t>CT-MOB-012</t>
        </is>
      </c>
      <c r="B15" s="34" t="inlineStr">
        <is>
          <t>Article HTML — heading / liste / lien</t>
        </is>
      </c>
      <c r="C15" s="34" t="inlineStr">
        <is>
          <t>Manuel</t>
        </is>
      </c>
      <c r="D15" s="34" t="inlineStr">
        <is>
          <t>Haute</t>
        </is>
      </c>
      <c r="E15" s="34" t="inlineStr">
        <is>
          <t>Article avec HTML riche</t>
        </is>
      </c>
      <c r="F15" s="34" t="inlineStr">
        <is>
          <t>—</t>
        </is>
      </c>
      <c r="G15" s="34" t="inlineStr">
        <is>
          <t>Ouvrir un article complexe</t>
        </is>
      </c>
      <c r="H15" s="34" t="inlineStr">
        <is>
          <t>h1/h2/h3, ul/ol, lien cliquable, italique, gras OK</t>
        </is>
      </c>
      <c r="I15" s="34" t="inlineStr">
        <is>
          <t>Manuel</t>
        </is>
      </c>
      <c r="J15" s="34" t="inlineStr">
        <is>
          <t>À exécuter</t>
        </is>
      </c>
      <c r="K15" s="34" t="n"/>
      <c r="L15" s="34" t="n"/>
      <c r="M15" s="34" t="n"/>
      <c r="N15" s="34" t="n"/>
    </row>
    <row r="16" ht="15" customHeight="1" s="20">
      <c r="A16" s="33" t="inlineStr">
        <is>
          <t>CT-MOB-013</t>
        </is>
      </c>
      <c r="B16" s="33" t="inlineStr">
        <is>
          <t>Greeting en fonction de l'heure</t>
        </is>
      </c>
      <c r="C16" s="33" t="inlineStr">
        <is>
          <t>Manuel</t>
        </is>
      </c>
      <c r="D16" s="33" t="inlineStr">
        <is>
          <t>Basse</t>
        </is>
      </c>
      <c r="E16" s="33" t="inlineStr">
        <is>
          <t>—</t>
        </is>
      </c>
      <c r="F16" s="33" t="inlineStr">
        <is>
          <t>—</t>
        </is>
      </c>
      <c r="G16" s="33" t="inlineStr">
        <is>
          <t>Ouvrir l'app le matin / l'après-midi / le soir</t>
        </is>
      </c>
      <c r="H16" s="33" t="inlineStr">
        <is>
          <t>'Bonjour' / 'Bon après-midi' / 'Bonsoir'</t>
        </is>
      </c>
      <c r="I16" s="33" t="inlineStr">
        <is>
          <t>Manuel</t>
        </is>
      </c>
      <c r="J16" s="33" t="inlineStr">
        <is>
          <t>À exécuter</t>
        </is>
      </c>
      <c r="K16" s="33" t="n"/>
      <c r="L16" s="33" t="n"/>
      <c r="M16" s="33" t="n"/>
      <c r="N16" s="33" t="n"/>
    </row>
    <row r="17" ht="15" customHeight="1" s="20">
      <c r="A17" s="34" t="inlineStr">
        <is>
          <t>CT-MOB-014</t>
        </is>
      </c>
      <c r="B17" s="34" t="inlineStr">
        <is>
          <t>Initiales avatar</t>
        </is>
      </c>
      <c r="C17" s="34" t="inlineStr">
        <is>
          <t>Manuel</t>
        </is>
      </c>
      <c r="D17" s="34" t="inlineStr">
        <is>
          <t>Basse</t>
        </is>
      </c>
      <c r="E17" s="34" t="inlineStr">
        <is>
          <t>Profil avec prénom + nom</t>
        </is>
      </c>
      <c r="F17" s="34" t="inlineStr">
        <is>
          <t>—</t>
        </is>
      </c>
      <c r="G17" s="34" t="inlineStr">
        <is>
          <t>Onglet Profil avec prénom + nom renseignés</t>
        </is>
      </c>
      <c r="H17" s="34" t="inlineStr">
        <is>
          <t>Avatar affiche 'JD' (Jane Doe)</t>
        </is>
      </c>
      <c r="I17" s="34" t="inlineStr">
        <is>
          <t>Manuel</t>
        </is>
      </c>
      <c r="J17" s="34" t="inlineStr">
        <is>
          <t>À exécuter</t>
        </is>
      </c>
      <c r="K17" s="34" t="n"/>
      <c r="L17" s="34" t="n"/>
      <c r="M17" s="34" t="n"/>
      <c r="N17" s="34" t="n"/>
    </row>
    <row r="18" ht="15" customHeight="1" s="20">
      <c r="A18" s="33" t="inlineStr">
        <is>
          <t>CT-MOB-015</t>
        </is>
      </c>
      <c r="B18" s="33" t="inlineStr">
        <is>
          <t>Mode sans connexion réseau</t>
        </is>
      </c>
      <c r="C18" s="33" t="inlineStr">
        <is>
          <t>Manuel</t>
        </is>
      </c>
      <c r="D18" s="33" t="inlineStr">
        <is>
          <t>Moyenne</t>
        </is>
      </c>
      <c r="E18" s="33" t="inlineStr">
        <is>
          <t>—</t>
        </is>
      </c>
      <c r="F18" s="33" t="inlineStr">
        <is>
          <t>—</t>
        </is>
      </c>
      <c r="G18" s="33" t="inlineStr">
        <is>
          <t>Couper le wifi → essayer d'ajouter une entrée</t>
        </is>
      </c>
      <c r="H18" s="33" t="inlineStr">
        <is>
          <t>Erreur claire affichée, pas de crash, possibilité de retry</t>
        </is>
      </c>
      <c r="I18" s="33" t="inlineStr">
        <is>
          <t>Manuel</t>
        </is>
      </c>
      <c r="J18" s="33" t="inlineStr">
        <is>
          <t>À exécuter</t>
        </is>
      </c>
      <c r="K18" s="33" t="n"/>
      <c r="L18" s="33" t="n"/>
      <c r="M18" s="33" t="n"/>
      <c r="N18" s="33" t="n"/>
    </row>
    <row r="19">
      <c r="A19" s="39" t="inlineStr">
        <is>
          <t>CT-MOB-016</t>
        </is>
      </c>
      <c r="B19" s="39" t="inlineStr">
        <is>
          <t>EntryCard — rendu émotion, intensité, note et tags</t>
        </is>
      </c>
      <c r="C19" s="39" t="inlineStr">
        <is>
          <t>Unitaire</t>
        </is>
      </c>
      <c r="D19" s="39" t="inlineStr">
        <is>
          <t>Haute</t>
        </is>
      </c>
      <c r="E19" s="39" t="inlineStr">
        <is>
          <t>Composant React Native rendu</t>
        </is>
      </c>
      <c r="F19" s="39" t="inlineStr">
        <is>
          <t>entry: intensity=4, note='Une note privée', tags=['travail','sport']</t>
        </is>
      </c>
      <c r="G19" s="39" t="inlineStr">
        <is>
          <t>render(&lt;EntryCard entry={baseEntry} /&gt;)</t>
        </is>
      </c>
      <c r="H19" s="39" t="inlineStr">
        <is>
          <t>Labels "Heureux", "Joie", "4/5", "#travail", "#sport" visibles</t>
        </is>
      </c>
      <c r="I19" s="39" t="inlineStr">
        <is>
          <t>✅ mobile/__tests__/components/EntryCard.test.tsx</t>
        </is>
      </c>
      <c r="J19" s="39" t="inlineStr">
        <is>
          <t>À exécuter</t>
        </is>
      </c>
      <c r="K19" s="39" t="n"/>
      <c r="L19" s="39" t="n"/>
      <c r="M19" s="39" t="n"/>
      <c r="N19" s="39" t="n"/>
    </row>
    <row r="20">
      <c r="A20" s="39" t="inlineStr">
        <is>
          <t>CT-MOB-017</t>
        </is>
      </c>
      <c r="B20" s="39" t="inlineStr">
        <is>
          <t>EntryCard — masque note et tags si null</t>
        </is>
      </c>
      <c r="C20" s="39" t="inlineStr">
        <is>
          <t>Unitaire</t>
        </is>
      </c>
      <c r="D20" s="39" t="inlineStr">
        <is>
          <t>Moyenne</t>
        </is>
      </c>
      <c r="E20" s="39" t="inlineStr">
        <is>
          <t>Composant rendu</t>
        </is>
      </c>
      <c r="F20" s="39" t="inlineStr">
        <is>
          <t>entry: note=null, contextTags=null</t>
        </is>
      </c>
      <c r="G20" s="39" t="inlineStr">
        <is>
          <t>render(&lt;EntryCard entry={...note null...} /&gt;)</t>
        </is>
      </c>
      <c r="H20" s="39" t="inlineStr">
        <is>
          <t>Note et tags absents du rendu</t>
        </is>
      </c>
      <c r="I20" s="39" t="inlineStr">
        <is>
          <t>✅ mobile/__tests__/components/EntryCard.test.tsx</t>
        </is>
      </c>
      <c r="J20" s="39" t="inlineStr">
        <is>
          <t>À exécuter</t>
        </is>
      </c>
      <c r="K20" s="39" t="n"/>
      <c r="L20" s="39" t="n"/>
      <c r="M20" s="39" t="n"/>
      <c r="N20" s="39" t="n"/>
    </row>
    <row r="21">
      <c r="A21" s="39" t="inlineStr">
        <is>
          <t>CT-MOB-018</t>
        </is>
      </c>
      <c r="B21" s="39" t="inlineStr">
        <is>
          <t>EntryCard — appelle onPress au tap</t>
        </is>
      </c>
      <c r="C21" s="39" t="inlineStr">
        <is>
          <t>Unitaire</t>
        </is>
      </c>
      <c r="D21" s="39" t="inlineStr">
        <is>
          <t>Moyenne</t>
        </is>
      </c>
      <c r="E21" s="39" t="inlineStr">
        <is>
          <t>Composant rendu avec handler onPress</t>
        </is>
      </c>
      <c r="F21" s="39" t="inlineStr">
        <is>
          <t>—</t>
        </is>
      </c>
      <c r="G21" s="39" t="inlineStr">
        <is>
          <t>fireEvent.press sur le label émotion</t>
        </is>
      </c>
      <c r="H21" s="39" t="inlineStr">
        <is>
          <t>onPress appelé une fois</t>
        </is>
      </c>
      <c r="I21" s="39" t="inlineStr">
        <is>
          <t>✅ mobile/__tests__/components/EntryCard.test.tsx</t>
        </is>
      </c>
      <c r="J21" s="39" t="inlineStr">
        <is>
          <t>À exécuter</t>
        </is>
      </c>
      <c r="K21" s="39" t="n"/>
      <c r="L21" s="39" t="n"/>
      <c r="M21" s="39" t="n"/>
      <c r="N21" s="39" t="n"/>
    </row>
    <row r="22">
      <c r="A22" s="39" t="inlineStr">
        <is>
          <t>CT-MOB-019</t>
        </is>
      </c>
      <c r="B22" s="39" t="inlineStr">
        <is>
          <t>IntensityPicker — affiche "Nulle" pour valeur 0</t>
        </is>
      </c>
      <c r="C22" s="39" t="inlineStr">
        <is>
          <t>Unitaire</t>
        </is>
      </c>
      <c r="D22" s="39" t="inlineStr">
        <is>
          <t>Basse</t>
        </is>
      </c>
      <c r="E22" s="39" t="inlineStr">
        <is>
          <t>Composant rendu</t>
        </is>
      </c>
      <c r="F22" s="39" t="inlineStr">
        <is>
          <t>value=0</t>
        </is>
      </c>
      <c r="G22" s="39" t="inlineStr">
        <is>
          <t>render(&lt;IntensityPicker value={0} onChange={...} /&gt;)</t>
        </is>
      </c>
      <c r="H22" s="39" t="inlineStr">
        <is>
          <t>Texte "Nulle" visible</t>
        </is>
      </c>
      <c r="I22" s="39" t="inlineStr">
        <is>
          <t>✅ mobile/__tests__/components/IntensityPicker.test.tsx</t>
        </is>
      </c>
      <c r="J22" s="39" t="inlineStr">
        <is>
          <t>À exécuter</t>
        </is>
      </c>
      <c r="K22" s="39" t="n"/>
      <c r="L22" s="39" t="n"/>
      <c r="M22" s="39" t="n"/>
      <c r="N22" s="39" t="n"/>
    </row>
    <row r="23">
      <c r="A23" s="39" t="inlineStr">
        <is>
          <t>CT-MOB-020</t>
        </is>
      </c>
      <c r="B23" s="39" t="inlineStr">
        <is>
          <t>IntensityPicker — affiche "Très élevée" pour valeur 5</t>
        </is>
      </c>
      <c r="C23" s="39" t="inlineStr">
        <is>
          <t>Unitaire</t>
        </is>
      </c>
      <c r="D23" s="39" t="inlineStr">
        <is>
          <t>Basse</t>
        </is>
      </c>
      <c r="E23" s="39" t="inlineStr">
        <is>
          <t>Composant rendu</t>
        </is>
      </c>
      <c r="F23" s="39" t="inlineStr">
        <is>
          <t>value=5</t>
        </is>
      </c>
      <c r="G23" s="39" t="inlineStr">
        <is>
          <t>render(&lt;IntensityPicker value={5} onChange={...} /&gt;)</t>
        </is>
      </c>
      <c r="H23" s="39" t="inlineStr">
        <is>
          <t>Texte "Très élevée" visible</t>
        </is>
      </c>
      <c r="I23" s="39" t="inlineStr">
        <is>
          <t>✅ mobile/__tests__/components/IntensityPicker.test.tsx</t>
        </is>
      </c>
      <c r="J23" s="39" t="inlineStr">
        <is>
          <t>À exécuter</t>
        </is>
      </c>
      <c r="K23" s="39" t="n"/>
      <c r="L23" s="39" t="n"/>
      <c r="M23" s="39" t="n"/>
      <c r="N23" s="39" t="n"/>
    </row>
    <row r="24">
      <c r="A24" s="39" t="inlineStr">
        <is>
          <t>CT-MOB-021</t>
        </is>
      </c>
      <c r="B24" s="39" t="inlineStr">
        <is>
          <t>initAuth restaure la session depuis token stocké</t>
        </is>
      </c>
      <c r="C24" s="39" t="inlineStr">
        <is>
          <t>Unitaire</t>
        </is>
      </c>
      <c r="D24" s="39" t="inlineStr">
        <is>
          <t>Bloquant</t>
        </is>
      </c>
      <c r="E24" s="39" t="inlineStr">
        <is>
          <t>Token JWT stocké dans SecureStore</t>
        </is>
      </c>
      <c r="F24" s="39" t="inlineStr">
        <is>
          <t>mock /api/auth/me → { userId, email, role }</t>
        </is>
      </c>
      <c r="G24" s="39" t="inlineStr">
        <is>
          <t>Montage de AuthProvider</t>
        </is>
      </c>
      <c r="H24" s="39" t="inlineStr">
        <is>
          <t>user.email === "me@test.com" après chargement</t>
        </is>
      </c>
      <c r="I24" s="39" t="inlineStr">
        <is>
          <t>✅ mobile/__tests__/context/AuthContext.test.tsx</t>
        </is>
      </c>
      <c r="J24" s="39" t="inlineStr">
        <is>
          <t>À exécuter</t>
        </is>
      </c>
      <c r="K24" s="39" t="n"/>
      <c r="L24" s="39" t="n"/>
      <c r="M24" s="39" t="n"/>
      <c r="N24" s="39" t="n"/>
    </row>
    <row r="25">
      <c r="A25" s="39" t="inlineStr">
        <is>
          <t>CT-MOB-022</t>
        </is>
      </c>
      <c r="B25" s="39" t="inlineStr">
        <is>
          <t>login — erreur si serveur ne retourne pas de token</t>
        </is>
      </c>
      <c r="C25" s="39" t="inlineStr">
        <is>
          <t>Unitaire</t>
        </is>
      </c>
      <c r="D25" s="39" t="inlineStr">
        <is>
          <t>Haute</t>
        </is>
      </c>
      <c r="E25" s="39" t="inlineStr">
        <is>
          <t>Mock retournant { success: false }</t>
        </is>
      </c>
      <c r="F25" s="39" t="inlineStr">
        <is>
          <t>—</t>
        </is>
      </c>
      <c r="G25" s="39" t="inlineStr">
        <is>
          <t>result.current.login("a@b.co", "Password123")</t>
        </is>
      </c>
      <c r="H25" s="39" t="inlineStr">
        <is>
          <t>Promise rejetée avec "token" dans le message</t>
        </is>
      </c>
      <c r="I25" s="39" t="inlineStr">
        <is>
          <t>✅ mobile/__tests__/context/AuthContext.test.tsx</t>
        </is>
      </c>
      <c r="J25" s="39" t="inlineStr">
        <is>
          <t>À exécuter</t>
        </is>
      </c>
      <c r="K25" s="39" t="n"/>
      <c r="L25" s="39" t="n"/>
      <c r="M25" s="39" t="n"/>
      <c r="N25" s="39" t="n"/>
    </row>
    <row r="26">
      <c r="A26" s="39" t="inlineStr">
        <is>
          <t>CT-MOB-023</t>
        </is>
      </c>
      <c r="B26" s="39" t="inlineStr">
        <is>
          <t>Auth API — erreur HTTP sans body → message générique</t>
        </is>
      </c>
      <c r="C26" s="39" t="inlineStr">
        <is>
          <t>Unitaire</t>
        </is>
      </c>
      <c r="D26" s="39" t="inlineStr">
        <is>
          <t>Moyenne</t>
        </is>
      </c>
      <c r="E26" s="39" t="inlineStr">
        <is>
          <t>Mock fetch HTTP 500 sans JSON parseable</t>
        </is>
      </c>
      <c r="F26" s="39" t="inlineStr">
        <is>
          <t>—</t>
        </is>
      </c>
      <c r="G26" s="39" t="inlineStr">
        <is>
          <t>authApi.me()</t>
        </is>
      </c>
      <c r="H26" s="39" t="inlineStr">
        <is>
          <t>Exception avec message "Erreur HTTP 500"</t>
        </is>
      </c>
      <c r="I26" s="39" t="inlineStr">
        <is>
          <t>✅ mobile/__tests__/lib/api.test.ts</t>
        </is>
      </c>
      <c r="J26" s="39" t="inlineStr">
        <is>
          <t>À exécuter</t>
        </is>
      </c>
      <c r="K26" s="39" t="n"/>
      <c r="L26" s="39" t="n"/>
      <c r="M26" s="39" t="n"/>
      <c r="N26" s="39" t="n"/>
    </row>
    <row r="27">
      <c r="A27" s="39" t="inlineStr">
        <is>
          <t>CT-MOB-024</t>
        </is>
      </c>
      <c r="B27" s="39" t="inlineStr">
        <is>
          <t>storeToken — rejet si token vide ou undefined</t>
        </is>
      </c>
      <c r="C27" s="39" t="inlineStr">
        <is>
          <t>Unitaire</t>
        </is>
      </c>
      <c r="D27" s="39" t="inlineStr">
        <is>
          <t>Haute</t>
        </is>
      </c>
      <c r="E27" s="39" t="inlineStr">
        <is>
          <t>—</t>
        </is>
      </c>
      <c r="F27" s="39" t="inlineStr">
        <is>
          <t>token='' ou token=undefined</t>
        </is>
      </c>
      <c r="G27" s="39" t="inlineStr">
        <is>
          <t>storeToken('') ou storeToken(undefined)</t>
        </is>
      </c>
      <c r="H27" s="39" t="inlineStr">
        <is>
          <t>Exception avec message "Invalid token"</t>
        </is>
      </c>
      <c r="I27" s="39" t="inlineStr">
        <is>
          <t>✅ mobile/__tests__/lib/auth.test.ts</t>
        </is>
      </c>
      <c r="J27" s="39" t="inlineStr">
        <is>
          <t>À exécuter</t>
        </is>
      </c>
      <c r="K27" s="39" t="n"/>
      <c r="L27" s="39" t="n"/>
      <c r="M27" s="39" t="n"/>
      <c r="N27" s="39" t="n"/>
    </row>
  </sheetData>
  <autoFilter ref="A3:N18"/>
  <mergeCells count="1">
    <mergeCell ref="A1:N1"/>
  </mergeCells>
  <conditionalFormatting sqref="D4:D18">
    <cfRule type="cellIs" rank="0" priority="2" equalAverage="0" operator="equal" aboveAverage="0" dxfId="0" text="" percent="0" bottom="0">
      <formula>"Bloquant"</formula>
    </cfRule>
    <cfRule type="cellIs" rank="0" priority="3" equalAverage="0" operator="equal" aboveAverage="0" dxfId="0" text="" percent="0" bottom="0">
      <formula>"Bloquant (sécurité)"</formula>
    </cfRule>
    <cfRule type="cellIs" rank="0" priority="4" equalAverage="0" operator="equal" aboveAverage="0" dxfId="0" text="" percent="0" bottom="0">
      <formula>"Bloquant (RGPD)"</formula>
    </cfRule>
    <cfRule type="cellIs" rank="0" priority="5" equalAverage="0" operator="equal" aboveAverage="0" dxfId="0" text="" percent="0" bottom="0">
      <formula>"Bloquante"</formula>
    </cfRule>
    <cfRule type="cellIs" rank="0" priority="6" equalAverage="0" operator="equal" aboveAverage="0" dxfId="1" text="" percent="0" bottom="0">
      <formula>"Haute"</formula>
    </cfRule>
    <cfRule type="cellIs" rank="0" priority="7" equalAverage="0" operator="equal" aboveAverage="0" dxfId="1" text="" percent="0" bottom="0">
      <formula>"Haute (sécurité)"</formula>
    </cfRule>
    <cfRule type="cellIs" rank="0" priority="8" equalAverage="0" operator="equal" aboveAverage="0" dxfId="1" text="" percent="0" bottom="0">
      <formula>"Majeur"</formula>
    </cfRule>
    <cfRule type="cellIs" rank="0" priority="9" equalAverage="0" operator="equal" aboveAverage="0" dxfId="1" text="" percent="0" bottom="0">
      <formula>"Majeure"</formula>
    </cfRule>
    <cfRule type="cellIs" rank="0" priority="10" equalAverage="0" operator="equal" aboveAverage="0" dxfId="2" text="" percent="0" bottom="0">
      <formula>"Moyenne"</formula>
    </cfRule>
    <cfRule type="cellIs" rank="0" priority="11" equalAverage="0" operator="equal" aboveAverage="0" dxfId="2" text="" percent="0" bottom="0">
      <formula>"Mineur"</formula>
    </cfRule>
    <cfRule type="cellIs" rank="0" priority="12" equalAverage="0" operator="equal" aboveAverage="0" dxfId="2" text="" percent="0" bottom="0">
      <formula>"Mineure"</formula>
    </cfRule>
    <cfRule type="cellIs" rank="0" priority="13" equalAverage="0" operator="equal" aboveAverage="0" dxfId="3" text="" percent="0" bottom="0">
      <formula>"Basse"</formula>
    </cfRule>
    <cfRule type="cellIs" rank="0" priority="14" equalAverage="0" operator="equal" aboveAverage="0" dxfId="3" text="" percent="0" bottom="0">
      <formula>"Cosmétique"</formula>
    </cfRule>
  </conditionalFormatting>
  <conditionalFormatting sqref="J4:J18">
    <cfRule type="cellIs" rank="0" priority="15" equalAverage="0" operator="equal" aboveAverage="0" dxfId="27" text="" percent="0" bottom="0">
      <formula>"OK"</formula>
    </cfRule>
    <cfRule type="cellIs" rank="0" priority="16" equalAverage="0" operator="equal" aboveAverage="0" dxfId="28" text="" percent="0" bottom="0">
      <formula>"KO"</formula>
    </cfRule>
    <cfRule type="cellIs" rank="0" priority="17" equalAverage="0" operator="equal" aboveAverage="0" dxfId="29" text="" percent="0" bottom="0">
      <formula>"Bloqué"</formula>
    </cfRule>
    <cfRule type="cellIs" rank="0" priority="18" equalAverage="0" operator="equal" aboveAverage="0" dxfId="30" text="" percent="0" bottom="0">
      <formula>"N/A"</formula>
    </cfRule>
    <cfRule type="cellIs" rank="0" priority="19" equalAverage="0" operator="equal" aboveAverage="0" dxfId="31" text="" percent="0" bottom="0">
      <formula>"À exécuter"</formula>
    </cfRule>
  </conditionalFormatting>
  <dataValidations count="2">
    <dataValidation sqref="J4:J18" showDropDown="0" showInputMessage="0" showErrorMessage="0" allowBlank="1" errorTitle="Statut invalide" error="Choisir une valeur dans la liste" promptTitle="Statut" prompt="Sélectionnez le statut d'exécution" type="list" errorStyle="stop" operator="between">
      <formula1>"OK,KO,Bloqué,N/A,À exécuter"</formula1>
      <formula2>0</formula2>
    </dataValidation>
    <dataValidation sqref="D4:D18" showDropDown="0" showInputMessage="0" showErrorMessage="0" allowBlank="1" type="list" errorStyle="stop" operator="between">
      <formula1>"Bloquant,Bloquant (sécurité),Bloquant (RGPD),Haute,Haute (sécurité),Moyenne,Basse"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N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4" customWidth="1" style="19" min="1" max="1"/>
    <col width="40" customWidth="1" style="19" min="2" max="2"/>
    <col width="14" customWidth="1" style="19" min="3" max="3"/>
    <col width="16" customWidth="1" style="19" min="4" max="4"/>
    <col width="30" customWidth="1" style="19" min="5" max="6"/>
    <col width="40" customWidth="1" style="19" min="7" max="7"/>
    <col width="45" customWidth="1" style="19" min="8" max="8"/>
    <col width="25" customWidth="1" style="19" min="9" max="9"/>
    <col width="15" customWidth="1" style="19" min="10" max="10"/>
    <col width="14" customWidth="1" style="19" min="11" max="11"/>
    <col width="18" customWidth="1" style="19" min="12" max="12"/>
    <col width="30" customWidth="1" style="19" min="13" max="13"/>
    <col width="16" customWidth="1" style="19" min="14" max="14"/>
  </cols>
  <sheetData>
    <row r="1" ht="27.75" customHeight="1" s="20">
      <c r="A1" s="21" t="inlineStr">
        <is>
          <t>12. Cas de test — SEC (Sécurité)</t>
        </is>
      </c>
    </row>
    <row r="3" ht="30" customHeight="1" s="20">
      <c r="A3" s="32" t="inlineStr">
        <is>
          <t>ID</t>
        </is>
      </c>
      <c r="B3" s="32" t="inlineStr">
        <is>
          <t>Titre</t>
        </is>
      </c>
      <c r="C3" s="32" t="inlineStr">
        <is>
          <t>Niveau</t>
        </is>
      </c>
      <c r="D3" s="32" t="inlineStr">
        <is>
          <t>Criticité</t>
        </is>
      </c>
      <c r="E3" s="32" t="inlineStr">
        <is>
          <t>Préconditions</t>
        </is>
      </c>
      <c r="F3" s="32" t="inlineStr">
        <is>
          <t>Données</t>
        </is>
      </c>
      <c r="G3" s="32" t="inlineStr">
        <is>
          <t>Étapes</t>
        </is>
      </c>
      <c r="H3" s="32" t="inlineStr">
        <is>
          <t>Résultat attendu</t>
        </is>
      </c>
      <c r="I3" s="32" t="inlineStr">
        <is>
          <t>Automatisé</t>
        </is>
      </c>
      <c r="J3" s="32" t="inlineStr">
        <is>
          <t>Statut</t>
        </is>
      </c>
      <c r="K3" s="32" t="inlineStr">
        <is>
          <t>Date exécution</t>
        </is>
      </c>
      <c r="L3" s="32" t="inlineStr">
        <is>
          <t>Testeur</t>
        </is>
      </c>
      <c r="M3" s="32" t="inlineStr">
        <is>
          <t>Commentaire</t>
        </is>
      </c>
      <c r="N3" s="32" t="inlineStr">
        <is>
          <t>ID anomalie</t>
        </is>
      </c>
    </row>
    <row r="4" ht="20.25" customHeight="1" s="20">
      <c r="A4" s="33" t="inlineStr">
        <is>
          <t>CT-SEC-001</t>
        </is>
      </c>
      <c r="B4" s="33" t="inlineStr">
        <is>
          <t>Notes utilisateur chiffrées au repos</t>
        </is>
      </c>
      <c r="C4" s="33" t="inlineStr">
        <is>
          <t>Sécurité</t>
        </is>
      </c>
      <c r="D4" s="33" t="inlineStr">
        <is>
          <t>Bloquant (RGPD)</t>
        </is>
      </c>
      <c r="E4" s="33" t="inlineStr">
        <is>
          <t>Entrées en base</t>
        </is>
      </c>
      <c r="F4" s="33" t="inlineStr">
        <is>
          <t>—</t>
        </is>
      </c>
      <c r="G4" s="33" t="inlineStr">
        <is>
          <t>• Inspecter entries.note_encrypted directement
• Vérifier l'absence de la note en clair</t>
        </is>
      </c>
      <c r="H4" s="33" t="inlineStr">
        <is>
          <t>Format AES-256-GCM iv:tag:cipher</t>
        </is>
      </c>
      <c r="I4" s="33" t="inlineStr">
        <is>
          <t>✅</t>
        </is>
      </c>
      <c r="J4" s="33" t="inlineStr">
        <is>
          <t>À exécuter</t>
        </is>
      </c>
      <c r="K4" s="33" t="n"/>
      <c r="L4" s="33" t="n"/>
      <c r="M4" s="33" t="n"/>
      <c r="N4" s="33" t="n"/>
    </row>
    <row r="5" ht="15" customHeight="1" s="20">
      <c r="A5" s="34" t="inlineStr">
        <is>
          <t>CT-SEC-002</t>
        </is>
      </c>
      <c r="B5" s="34" t="inlineStr">
        <is>
          <t>Mots de passe non stockés en clair</t>
        </is>
      </c>
      <c r="C5" s="34" t="inlineStr">
        <is>
          <t>Sécurité</t>
        </is>
      </c>
      <c r="D5" s="34" t="inlineStr">
        <is>
          <t>Bloquant</t>
        </is>
      </c>
      <c r="E5" s="34" t="inlineStr">
        <is>
          <t>Comptes en base</t>
        </is>
      </c>
      <c r="F5" s="34" t="inlineStr">
        <is>
          <t>—</t>
        </is>
      </c>
      <c r="G5" s="34" t="inlineStr">
        <is>
          <t>SELECT password_hash FROM users</t>
        </is>
      </c>
      <c r="H5" s="34" t="inlineStr">
        <is>
          <t>Format salt:hash hex (scrypt), pas le mot de passe</t>
        </is>
      </c>
      <c r="I5" s="34" t="inlineStr">
        <is>
          <t>✅</t>
        </is>
      </c>
      <c r="J5" s="34" t="inlineStr">
        <is>
          <t>À exécuter</t>
        </is>
      </c>
      <c r="K5" s="34" t="n"/>
      <c r="L5" s="34" t="n"/>
      <c r="M5" s="34" t="n"/>
      <c r="N5" s="34" t="n"/>
    </row>
    <row r="6" ht="20.25" customHeight="1" s="20">
      <c r="A6" s="33" t="inlineStr">
        <is>
          <t>CT-SEC-003</t>
        </is>
      </c>
      <c r="B6" s="33" t="inlineStr">
        <is>
          <t>Brute-force timing attack</t>
        </is>
      </c>
      <c r="C6" s="33" t="inlineStr">
        <is>
          <t>Sécurité</t>
        </is>
      </c>
      <c r="D6" s="33" t="inlineStr">
        <is>
          <t>Haute</t>
        </is>
      </c>
      <c r="E6" s="33" t="inlineStr">
        <is>
          <t>—</t>
        </is>
      </c>
      <c r="F6" s="33" t="inlineStr">
        <is>
          <t>—</t>
        </is>
      </c>
      <c r="G6" s="33" t="inlineStr">
        <is>
          <t>Mesurer le temps de réponse pour : email valide / mauvais mdp vs email inconnu</t>
        </is>
      </c>
      <c r="H6" s="33" t="inlineStr">
        <is>
          <t>Diff &lt; 50ms (timingSafeEqual + lookup similaires)</t>
        </is>
      </c>
      <c r="I6" s="33" t="inlineStr">
        <is>
          <t>Manuel</t>
        </is>
      </c>
      <c r="J6" s="33" t="inlineStr">
        <is>
          <t>À exécuter</t>
        </is>
      </c>
      <c r="K6" s="33" t="n"/>
      <c r="L6" s="33" t="n"/>
      <c r="M6" s="33" t="n"/>
      <c r="N6" s="33" t="n"/>
    </row>
    <row r="7" ht="15" customHeight="1" s="20">
      <c r="A7" s="34" t="inlineStr">
        <is>
          <t>CT-SEC-004</t>
        </is>
      </c>
      <c r="B7" s="34" t="inlineStr">
        <is>
          <t>JWT signature altérée</t>
        </is>
      </c>
      <c r="C7" s="34" t="inlineStr">
        <is>
          <t>Sécurité</t>
        </is>
      </c>
      <c r="D7" s="34" t="inlineStr">
        <is>
          <t>Bloquant</t>
        </is>
      </c>
      <c r="E7" s="34" t="inlineStr">
        <is>
          <t>JWT valide</t>
        </is>
      </c>
      <c r="F7" s="34" t="inlineStr">
        <is>
          <t>—</t>
        </is>
      </c>
      <c r="G7" s="34" t="inlineStr">
        <is>
          <t>Modifier la signature d'un token, l'envoyer</t>
        </is>
      </c>
      <c r="H7" s="34" t="inlineStr">
        <is>
          <t>session = null, requête refusée</t>
        </is>
      </c>
      <c r="I7" s="34" t="inlineStr">
        <is>
          <t>✅ CT-AUTH-010</t>
        </is>
      </c>
      <c r="J7" s="34" t="inlineStr">
        <is>
          <t>À exécuter</t>
        </is>
      </c>
      <c r="K7" s="34" t="n"/>
      <c r="L7" s="34" t="n"/>
      <c r="M7" s="34" t="n"/>
      <c r="N7" s="34" t="n"/>
    </row>
    <row r="8" ht="20.25" customHeight="1" s="20">
      <c r="A8" s="33" t="inlineStr">
        <is>
          <t>CT-SEC-005</t>
        </is>
      </c>
      <c r="B8" s="33" t="inlineStr">
        <is>
          <t>JWT payload modifié (élévation de privilège)</t>
        </is>
      </c>
      <c r="C8" s="33" t="inlineStr">
        <is>
          <t>Sécurité</t>
        </is>
      </c>
      <c r="D8" s="33" t="inlineStr">
        <is>
          <t>Bloquant</t>
        </is>
      </c>
      <c r="E8" s="33" t="inlineStr">
        <is>
          <t>JWT user</t>
        </is>
      </c>
      <c r="F8" s="33" t="inlineStr">
        <is>
          <t>—</t>
        </is>
      </c>
      <c r="G8" s="33" t="inlineStr">
        <is>
          <t>Tenter de modifier le payload pour passer role=admin sans re-signer</t>
        </is>
      </c>
      <c r="H8" s="33" t="inlineStr">
        <is>
          <t>Vérification HMAC échoue → null</t>
        </is>
      </c>
      <c r="I8" s="33" t="inlineStr">
        <is>
          <t>✅ par jose</t>
        </is>
      </c>
      <c r="J8" s="33" t="inlineStr">
        <is>
          <t>À exécuter</t>
        </is>
      </c>
      <c r="K8" s="33" t="n"/>
      <c r="L8" s="33" t="n"/>
      <c r="M8" s="33" t="n"/>
      <c r="N8" s="33" t="n"/>
    </row>
    <row r="9" ht="15" customHeight="1" s="20">
      <c r="A9" s="34" t="inlineStr">
        <is>
          <t>CT-SEC-006</t>
        </is>
      </c>
      <c r="B9" s="34" t="inlineStr">
        <is>
          <t>IDOR (lecture entrée d'un autre user)</t>
        </is>
      </c>
      <c r="C9" s="34" t="inlineStr">
        <is>
          <t>Sécurité</t>
        </is>
      </c>
      <c r="D9" s="34" t="inlineStr">
        <is>
          <t>Bloquant</t>
        </is>
      </c>
      <c r="E9" s="34" t="inlineStr">
        <is>
          <t>Entrée userA, token userB</t>
        </is>
      </c>
      <c r="F9" s="34" t="inlineStr">
        <is>
          <t>—</t>
        </is>
      </c>
      <c r="G9" s="34" t="inlineStr">
        <is>
          <t>GET /api/entries/&lt;uuid-de-userA&gt; avec token userB</t>
        </is>
      </c>
      <c r="H9" s="34" t="inlineStr">
        <is>
          <t>HTTP 404</t>
        </is>
      </c>
      <c r="I9" s="34" t="inlineStr">
        <is>
          <t>✅ CT-JRN-010</t>
        </is>
      </c>
      <c r="J9" s="34" t="inlineStr">
        <is>
          <t>À exécuter</t>
        </is>
      </c>
      <c r="K9" s="34" t="n"/>
      <c r="L9" s="34" t="n"/>
      <c r="M9" s="34" t="n"/>
      <c r="N9" s="34" t="n"/>
    </row>
    <row r="10" ht="20.25" customHeight="1" s="20">
      <c r="A10" s="33" t="inlineStr">
        <is>
          <t>CT-SEC-007</t>
        </is>
      </c>
      <c r="B10" s="33" t="inlineStr">
        <is>
          <t>XSS dans la note (saisie utilisateur)</t>
        </is>
      </c>
      <c r="C10" s="33" t="inlineStr">
        <is>
          <t>Sécurité</t>
        </is>
      </c>
      <c r="D10" s="33" t="inlineStr">
        <is>
          <t>Haute</t>
        </is>
      </c>
      <c r="E10" s="33" t="inlineStr">
        <is>
          <t>—</t>
        </is>
      </c>
      <c r="F10" s="33" t="inlineStr">
        <is>
          <t>note='&lt;script&gt;alert(1)&lt;/script&gt;'</t>
        </is>
      </c>
      <c r="G10" s="33" t="inlineStr">
        <is>
          <t>Créer entrée avec script tag</t>
        </is>
      </c>
      <c r="H10" s="33" t="inlineStr">
        <is>
          <t>• Web : note affichée en texte brut (pas d'exécution)
• Mobile : idem (Text component)</t>
        </is>
      </c>
      <c r="I10" s="33" t="inlineStr">
        <is>
          <t>Manuel</t>
        </is>
      </c>
      <c r="J10" s="33" t="inlineStr">
        <is>
          <t>À exécuter</t>
        </is>
      </c>
      <c r="K10" s="33" t="n"/>
      <c r="L10" s="33" t="n"/>
      <c r="M10" s="33" t="n"/>
      <c r="N10" s="33" t="n"/>
    </row>
    <row r="11" ht="30" customHeight="1" s="20">
      <c r="A11" s="34" t="inlineStr">
        <is>
          <t>CT-SEC-008</t>
        </is>
      </c>
      <c r="B11" s="34" t="inlineStr">
        <is>
          <t>XSS dans le contenu d'un article (admin)</t>
        </is>
      </c>
      <c r="C11" s="34" t="inlineStr">
        <is>
          <t>Sécurité</t>
        </is>
      </c>
      <c r="D11" s="34" t="inlineStr">
        <is>
          <t>Haute</t>
        </is>
      </c>
      <c r="E11" s="34" t="inlineStr">
        <is>
          <t>Admin connecté</t>
        </is>
      </c>
      <c r="F11" s="34" t="inlineStr">
        <is>
          <t>Contenu HTML</t>
        </is>
      </c>
      <c r="G11" s="34" t="inlineStr">
        <is>
          <t>Admin entre du HTML rendu via dangerouslySetInnerHTML</t>
        </is>
      </c>
      <c r="H11" s="34" t="inlineStr">
        <is>
          <t>À risque par design — la confiance est placée sur le compte admin. À documenter explicitement. (TipTap utilisé : sanitize amont, revue admin)</t>
        </is>
      </c>
      <c r="I11" s="34" t="inlineStr">
        <is>
          <t>Non</t>
        </is>
      </c>
      <c r="J11" s="34" t="inlineStr">
        <is>
          <t>À exécuter</t>
        </is>
      </c>
      <c r="K11" s="34" t="n"/>
      <c r="L11" s="34" t="n"/>
      <c r="M11" s="34" t="n"/>
      <c r="N11" s="34" t="n"/>
    </row>
    <row r="12" ht="20.25" customHeight="1" s="20">
      <c r="A12" s="33" t="inlineStr">
        <is>
          <t>CT-SEC-009</t>
        </is>
      </c>
      <c r="B12" s="33" t="inlineStr">
        <is>
          <t>SQL injection</t>
        </is>
      </c>
      <c r="C12" s="33" t="inlineStr">
        <is>
          <t>Sécurité</t>
        </is>
      </c>
      <c r="D12" s="33" t="inlineStr">
        <is>
          <t>Bloquant</t>
        </is>
      </c>
      <c r="E12" s="33" t="inlineStr">
        <is>
          <t>—</t>
        </is>
      </c>
      <c r="F12" s="33" t="inlineStr">
        <is>
          <t>email="'; DROP TABLE users;--"</t>
        </is>
      </c>
      <c r="G12" s="33" t="inlineStr">
        <is>
          <t>Soumettre email avec injection SQL</t>
        </is>
      </c>
      <c r="H12" s="33" t="inlineStr">
        <is>
          <t>Drizzle utilise des requêtes paramétrées, aucune exécution</t>
        </is>
      </c>
      <c r="I12" s="33" t="inlineStr">
        <is>
          <t>Manuel + couvert par les tests intégration</t>
        </is>
      </c>
      <c r="J12" s="33" t="inlineStr">
        <is>
          <t>À exécuter</t>
        </is>
      </c>
      <c r="K12" s="33" t="n"/>
      <c r="L12" s="33" t="n"/>
      <c r="M12" s="33" t="n"/>
      <c r="N12" s="33" t="n"/>
    </row>
    <row r="13" ht="20.25" customHeight="1" s="20">
      <c r="A13" s="34" t="inlineStr">
        <is>
          <t>CT-SEC-010</t>
        </is>
      </c>
      <c r="B13" s="34" t="inlineStr">
        <is>
          <t>CSRF (Cross-Site Request Forgery)</t>
        </is>
      </c>
      <c r="C13" s="34" t="inlineStr">
        <is>
          <t>Sécurité</t>
        </is>
      </c>
      <c r="D13" s="34" t="inlineStr">
        <is>
          <t>Haute</t>
        </is>
      </c>
      <c r="E13" s="34" t="inlineStr">
        <is>
          <t>—</t>
        </is>
      </c>
      <c r="F13" s="34" t="inlineStr">
        <is>
          <t>—</t>
        </is>
      </c>
      <c r="G13" s="34" t="inlineStr">
        <is>
          <t>Cookie sameSite=lax configuré dans createSession</t>
        </is>
      </c>
      <c r="H13" s="34" t="inlineStr">
        <is>
          <t>Les requêtes cross-site n'envoient pas le cookie automatiquement</t>
        </is>
      </c>
      <c r="I13" s="34" t="inlineStr">
        <is>
          <t>Couvert par lecture du code</t>
        </is>
      </c>
      <c r="J13" s="34" t="inlineStr">
        <is>
          <t>À exécuter</t>
        </is>
      </c>
      <c r="K13" s="34" t="n"/>
      <c r="L13" s="34" t="n"/>
      <c r="M13" s="34" t="n"/>
      <c r="N13" s="34" t="n"/>
    </row>
    <row r="14" ht="20.25" customHeight="1" s="20">
      <c r="A14" s="33" t="inlineStr">
        <is>
          <t>CT-SEC-011</t>
        </is>
      </c>
      <c r="B14" s="33" t="inlineStr">
        <is>
          <t>Headers de sécurité</t>
        </is>
      </c>
      <c r="C14" s="33" t="inlineStr">
        <is>
          <t>Sécurité</t>
        </is>
      </c>
      <c r="D14" s="33" t="inlineStr">
        <is>
          <t>Moyenne</t>
        </is>
      </c>
      <c r="E14" s="33" t="inlineStr">
        <is>
          <t>—</t>
        </is>
      </c>
      <c r="F14" s="33" t="inlineStr">
        <is>
          <t>—</t>
        </is>
      </c>
      <c r="G14" s="33" t="inlineStr">
        <is>
          <t>Inspecter les headers de réponse</t>
        </is>
      </c>
      <c r="H14" s="33" t="inlineStr">
        <is>
          <t>À auditer : CSP, X-Frame-Options, X-Content-Type-Options, Strict-Transport-Security (à compléter en production)</t>
        </is>
      </c>
      <c r="I14" s="33" t="inlineStr">
        <is>
          <t>Manuel — non implémenté actuellement</t>
        </is>
      </c>
      <c r="J14" s="33" t="inlineStr">
        <is>
          <t>À exécuter</t>
        </is>
      </c>
      <c r="K14" s="33" t="n"/>
      <c r="L14" s="33" t="n"/>
      <c r="M14" s="33" t="n"/>
      <c r="N14" s="33" t="n"/>
    </row>
    <row r="15" ht="15" customHeight="1" s="20">
      <c r="A15" s="34" t="inlineStr">
        <is>
          <t>CT-SEC-012</t>
        </is>
      </c>
      <c r="B15" s="34" t="inlineStr">
        <is>
          <t>Brute-force login (rate limiting)</t>
        </is>
      </c>
      <c r="C15" s="34" t="inlineStr">
        <is>
          <t>Sécurité</t>
        </is>
      </c>
      <c r="D15" s="34" t="inlineStr">
        <is>
          <t>Haute</t>
        </is>
      </c>
      <c r="E15" s="34" t="inlineStr">
        <is>
          <t>—</t>
        </is>
      </c>
      <c r="F15" s="34" t="inlineStr">
        <is>
          <t>—</t>
        </is>
      </c>
      <c r="G15" s="34" t="inlineStr">
        <is>
          <t>Pas de rate limiter actuellement → backlog</t>
        </is>
      </c>
      <c r="H15" s="34" t="inlineStr">
        <is>
          <t>À implémenter (Upstash Ratelimit, middleware)</t>
        </is>
      </c>
      <c r="I15" s="34" t="inlineStr">
        <is>
          <t>Non — anomalie connue</t>
        </is>
      </c>
      <c r="J15" s="34" t="inlineStr">
        <is>
          <t>À exécuter</t>
        </is>
      </c>
      <c r="K15" s="34" t="n"/>
      <c r="L15" s="34" t="n"/>
      <c r="M15" s="34" t="n"/>
      <c r="N15" s="34" t="n"/>
    </row>
    <row r="16">
      <c r="A16" s="40" t="inlineStr">
        <is>
          <t>CT-SEC-013</t>
        </is>
      </c>
      <c r="B16" s="40" t="inlineStr">
        <is>
          <t>Chiffrement — format iv:authTag:cipher (3 segments hexa)</t>
        </is>
      </c>
      <c r="C16" s="40" t="inlineStr">
        <is>
          <t>Unitaire</t>
        </is>
      </c>
      <c r="D16" s="40" t="inlineStr">
        <is>
          <t>Bloquant (RGPD)</t>
        </is>
      </c>
      <c r="E16" s="40" t="inlineStr">
        <is>
          <t>—</t>
        </is>
      </c>
      <c r="F16" s="40" t="inlineStr">
        <is>
          <t>plaintext='hello'</t>
        </is>
      </c>
      <c r="G16" s="40" t="inlineStr">
        <is>
          <t>encryptNote("hello")</t>
        </is>
      </c>
      <c r="H16" s="40" t="inlineStr">
        <is>
          <t>Résultat en 3 segments ":" ; IV=32 chars hexa, authTag=32 chars hexa</t>
        </is>
      </c>
      <c r="I16" s="40" t="inlineStr">
        <is>
          <t>✅ tests/unit/encryption.test.ts</t>
        </is>
      </c>
      <c r="J16" s="40" t="inlineStr">
        <is>
          <t>À exécuter</t>
        </is>
      </c>
      <c r="K16" s="40" t="n"/>
      <c r="L16" s="40" t="n"/>
      <c r="M16" s="40" t="n"/>
      <c r="N16" s="40" t="n"/>
    </row>
    <row r="17">
      <c r="A17" s="40" t="inlineStr">
        <is>
          <t>CT-SEC-014</t>
        </is>
      </c>
      <c r="B17" s="40" t="inlineStr">
        <is>
          <t>Chiffrement — IV différent pour même plaintext</t>
        </is>
      </c>
      <c r="C17" s="40" t="inlineStr">
        <is>
          <t>Unitaire</t>
        </is>
      </c>
      <c r="D17" s="40" t="inlineStr">
        <is>
          <t>Bloquant (RGPD)</t>
        </is>
      </c>
      <c r="E17" s="40" t="inlineStr">
        <is>
          <t>—</t>
        </is>
      </c>
      <c r="F17" s="40" t="inlineStr">
        <is>
          <t>plaintext='Secret note'</t>
        </is>
      </c>
      <c r="G17" s="40" t="inlineStr">
        <is>
          <t>encryptNote(x) appelé deux fois</t>
        </is>
      </c>
      <c r="H17" s="40" t="inlineStr">
        <is>
          <t>Les deux ciphertexts sont différents</t>
        </is>
      </c>
      <c r="I17" s="40" t="inlineStr">
        <is>
          <t>✅ tests/unit/encryption.test.ts</t>
        </is>
      </c>
      <c r="J17" s="40" t="inlineStr">
        <is>
          <t>À exécuter</t>
        </is>
      </c>
      <c r="K17" s="40" t="n"/>
      <c r="L17" s="40" t="n"/>
      <c r="M17" s="40" t="n"/>
      <c r="N17" s="40" t="n"/>
    </row>
    <row r="18">
      <c r="A18" s="40" t="inlineStr">
        <is>
          <t>CT-SEC-015</t>
        </is>
      </c>
      <c r="B18" s="40" t="inlineStr">
        <is>
          <t>Chiffrement — erreur si ciphertext altéré</t>
        </is>
      </c>
      <c r="C18" s="40" t="inlineStr">
        <is>
          <t>Sécurité</t>
        </is>
      </c>
      <c r="D18" s="40" t="inlineStr">
        <is>
          <t>Bloquant</t>
        </is>
      </c>
      <c r="E18" s="40" t="inlineStr">
        <is>
          <t>—</t>
        </is>
      </c>
      <c r="F18" s="40" t="inlineStr">
        <is>
          <t>Dernier octet du ciphertext modifié</t>
        </is>
      </c>
      <c r="G18" s="40" t="inlineStr">
        <is>
          <t>decryptNote(tampered)</t>
        </is>
      </c>
      <c r="H18" s="40" t="inlineStr">
        <is>
          <t>Exception levée (authentification GCM échouée)</t>
        </is>
      </c>
      <c r="I18" s="40" t="inlineStr">
        <is>
          <t>✅ tests/unit/encryption.test.ts</t>
        </is>
      </c>
      <c r="J18" s="40" t="inlineStr">
        <is>
          <t>À exécuter</t>
        </is>
      </c>
      <c r="K18" s="40" t="n"/>
      <c r="L18" s="40" t="n"/>
      <c r="M18" s="40" t="n"/>
      <c r="N18" s="40" t="n"/>
    </row>
    <row r="19">
      <c r="A19" s="40" t="inlineStr">
        <is>
          <t>CT-SEC-016</t>
        </is>
      </c>
      <c r="B19" s="40" t="inlineStr">
        <is>
          <t>Chiffrement — erreur si format invalide</t>
        </is>
      </c>
      <c r="C19" s="40" t="inlineStr">
        <is>
          <t>Sécurité</t>
        </is>
      </c>
      <c r="D19" s="40" t="inlineStr">
        <is>
          <t>Haute</t>
        </is>
      </c>
      <c r="E19" s="40" t="inlineStr">
        <is>
          <t>—</t>
        </is>
      </c>
      <c r="F19" s="40" t="inlineStr">
        <is>
          <t>"not-valid-format"</t>
        </is>
      </c>
      <c r="G19" s="40" t="inlineStr">
        <is>
          <t>decryptNote("not-valid-format")</t>
        </is>
      </c>
      <c r="H19" s="40" t="inlineStr">
        <is>
          <t>Exception "Invalid encrypted data format"</t>
        </is>
      </c>
      <c r="I19" s="40" t="inlineStr">
        <is>
          <t>✅ tests/unit/encryption.test.ts</t>
        </is>
      </c>
      <c r="J19" s="40" t="inlineStr">
        <is>
          <t>À exécuter</t>
        </is>
      </c>
      <c r="K19" s="40" t="n"/>
      <c r="L19" s="40" t="n"/>
      <c r="M19" s="40" t="n"/>
      <c r="N19" s="40" t="n"/>
    </row>
    <row r="20">
      <c r="A20" s="40" t="inlineStr">
        <is>
          <t>CT-SEC-017</t>
        </is>
      </c>
      <c r="B20" s="40" t="inlineStr">
        <is>
          <t>Chiffrement — unicode et contenu long (&gt;1500 chars)</t>
        </is>
      </c>
      <c r="C20" s="40" t="inlineStr">
        <is>
          <t>Unitaire</t>
        </is>
      </c>
      <c r="D20" s="40" t="inlineStr">
        <is>
          <t>Moyenne</t>
        </is>
      </c>
      <c r="E20" s="40" t="inlineStr">
        <is>
          <t>—</t>
        </is>
      </c>
      <c r="F20" s="40" t="inlineStr">
        <is>
          <t>'🌿 émotion intense ' + 'x'*1500</t>
        </is>
      </c>
      <c r="G20" s="40" t="inlineStr">
        <is>
          <t>encryptNote(long) → decryptNote()</t>
        </is>
      </c>
      <c r="H20" s="40" t="inlineStr">
        <is>
          <t>Texte original retrouvé fidèlement</t>
        </is>
      </c>
      <c r="I20" s="40" t="inlineStr">
        <is>
          <t>✅ tests/unit/encryption.test.ts</t>
        </is>
      </c>
      <c r="J20" s="40" t="inlineStr">
        <is>
          <t>À exécuter</t>
        </is>
      </c>
      <c r="K20" s="40" t="n"/>
      <c r="L20" s="40" t="n"/>
      <c r="M20" s="40" t="n"/>
      <c r="N20" s="40" t="n"/>
    </row>
    <row r="21">
      <c r="A21" s="40" t="inlineStr">
        <is>
          <t>CT-SEC-018</t>
        </is>
      </c>
      <c r="B21" s="40" t="inlineStr">
        <is>
          <t>Chiffrement — erreur si ENCRYPTION_KEY absente</t>
        </is>
      </c>
      <c r="C21" s="40" t="inlineStr">
        <is>
          <t>Unitaire</t>
        </is>
      </c>
      <c r="D21" s="40" t="inlineStr">
        <is>
          <t>Bloquant</t>
        </is>
      </c>
      <c r="E21" s="40" t="inlineStr">
        <is>
          <t>ENCRYPTION_KEY supprimée des variables d'env</t>
        </is>
      </c>
      <c r="F21" s="40" t="inlineStr">
        <is>
          <t>—</t>
        </is>
      </c>
      <c r="G21" s="40" t="inlineStr">
        <is>
          <t>encryptNote("test")</t>
        </is>
      </c>
      <c r="H21" s="40" t="inlineStr">
        <is>
          <t>Exception "ENCRYPTION_KEY environment variable is not set"</t>
        </is>
      </c>
      <c r="I21" s="40" t="inlineStr">
        <is>
          <t>✅ tests/unit/encryption.test.ts</t>
        </is>
      </c>
      <c r="J21" s="40" t="inlineStr">
        <is>
          <t>À exécuter</t>
        </is>
      </c>
      <c r="K21" s="40" t="n"/>
      <c r="L21" s="40" t="n"/>
      <c r="M21" s="40" t="n"/>
      <c r="N21" s="40" t="n"/>
    </row>
  </sheetData>
  <autoFilter ref="A3:N15"/>
  <mergeCells count="1">
    <mergeCell ref="A1:N1"/>
  </mergeCells>
  <conditionalFormatting sqref="D4:D15">
    <cfRule type="cellIs" rank="0" priority="2" equalAverage="0" operator="equal" aboveAverage="0" dxfId="0" text="" percent="0" bottom="0">
      <formula>"Bloquant"</formula>
    </cfRule>
    <cfRule type="cellIs" rank="0" priority="3" equalAverage="0" operator="equal" aboveAverage="0" dxfId="0" text="" percent="0" bottom="0">
      <formula>"Bloquant (sécurité)"</formula>
    </cfRule>
    <cfRule type="cellIs" rank="0" priority="4" equalAverage="0" operator="equal" aboveAverage="0" dxfId="0" text="" percent="0" bottom="0">
      <formula>"Bloquant (RGPD)"</formula>
    </cfRule>
    <cfRule type="cellIs" rank="0" priority="5" equalAverage="0" operator="equal" aboveAverage="0" dxfId="0" text="" percent="0" bottom="0">
      <formula>"Bloquante"</formula>
    </cfRule>
    <cfRule type="cellIs" rank="0" priority="6" equalAverage="0" operator="equal" aboveAverage="0" dxfId="1" text="" percent="0" bottom="0">
      <formula>"Haute"</formula>
    </cfRule>
    <cfRule type="cellIs" rank="0" priority="7" equalAverage="0" operator="equal" aboveAverage="0" dxfId="1" text="" percent="0" bottom="0">
      <formula>"Haute (sécurité)"</formula>
    </cfRule>
    <cfRule type="cellIs" rank="0" priority="8" equalAverage="0" operator="equal" aboveAverage="0" dxfId="1" text="" percent="0" bottom="0">
      <formula>"Majeur"</formula>
    </cfRule>
    <cfRule type="cellIs" rank="0" priority="9" equalAverage="0" operator="equal" aboveAverage="0" dxfId="1" text="" percent="0" bottom="0">
      <formula>"Majeure"</formula>
    </cfRule>
    <cfRule type="cellIs" rank="0" priority="10" equalAverage="0" operator="equal" aboveAverage="0" dxfId="2" text="" percent="0" bottom="0">
      <formula>"Moyenne"</formula>
    </cfRule>
    <cfRule type="cellIs" rank="0" priority="11" equalAverage="0" operator="equal" aboveAverage="0" dxfId="2" text="" percent="0" bottom="0">
      <formula>"Mineur"</formula>
    </cfRule>
    <cfRule type="cellIs" rank="0" priority="12" equalAverage="0" operator="equal" aboveAverage="0" dxfId="2" text="" percent="0" bottom="0">
      <formula>"Mineure"</formula>
    </cfRule>
    <cfRule type="cellIs" rank="0" priority="13" equalAverage="0" operator="equal" aboveAverage="0" dxfId="3" text="" percent="0" bottom="0">
      <formula>"Basse"</formula>
    </cfRule>
    <cfRule type="cellIs" rank="0" priority="14" equalAverage="0" operator="equal" aboveAverage="0" dxfId="3" text="" percent="0" bottom="0">
      <formula>"Cosmétique"</formula>
    </cfRule>
  </conditionalFormatting>
  <conditionalFormatting sqref="J4:J15">
    <cfRule type="cellIs" rank="0" priority="15" equalAverage="0" operator="equal" aboveAverage="0" dxfId="27" text="" percent="0" bottom="0">
      <formula>"OK"</formula>
    </cfRule>
    <cfRule type="cellIs" rank="0" priority="16" equalAverage="0" operator="equal" aboveAverage="0" dxfId="28" text="" percent="0" bottom="0">
      <formula>"KO"</formula>
    </cfRule>
    <cfRule type="cellIs" rank="0" priority="17" equalAverage="0" operator="equal" aboveAverage="0" dxfId="29" text="" percent="0" bottom="0">
      <formula>"Bloqué"</formula>
    </cfRule>
    <cfRule type="cellIs" rank="0" priority="18" equalAverage="0" operator="equal" aboveAverage="0" dxfId="30" text="" percent="0" bottom="0">
      <formula>"N/A"</formula>
    </cfRule>
    <cfRule type="cellIs" rank="0" priority="19" equalAverage="0" operator="equal" aboveAverage="0" dxfId="31" text="" percent="0" bottom="0">
      <formula>"À exécuter"</formula>
    </cfRule>
  </conditionalFormatting>
  <dataValidations count="2">
    <dataValidation sqref="J4:J15" showDropDown="0" showInputMessage="0" showErrorMessage="0" allowBlank="1" errorTitle="Statut invalide" error="Choisir une valeur dans la liste" promptTitle="Statut" prompt="Sélectionnez le statut d'exécution" type="list" errorStyle="stop" operator="between">
      <formula1>"OK,KO,Bloqué,N/A,À exécuter"</formula1>
      <formula2>0</formula2>
    </dataValidation>
    <dataValidation sqref="D4:D15" showDropDown="0" showInputMessage="0" showErrorMessage="0" allowBlank="1" type="list" errorStyle="stop" operator="between">
      <formula1>"Bloquant,Bloquant (sécurité),Bloquant (RGPD),Haute,Haute (sécurité),Moyenne,Basse"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4" customWidth="1" style="20" min="1" max="1"/>
    <col width="42" customWidth="1" style="20" min="2" max="2"/>
    <col width="15" customWidth="1" style="20" min="3" max="3"/>
    <col width="20" customWidth="1" style="20" min="4" max="4"/>
    <col width="35" customWidth="1" style="20" min="5" max="5"/>
    <col width="35" customWidth="1" style="20" min="6" max="6"/>
    <col width="38" customWidth="1" style="20" min="7" max="7"/>
    <col width="45" customWidth="1" style="20" min="8" max="8"/>
    <col width="32" customWidth="1" style="20" min="9" max="9"/>
    <col width="14" customWidth="1" style="20" min="10" max="10"/>
    <col width="15" customWidth="1" style="20" min="11" max="11"/>
    <col width="14" customWidth="1" style="20" min="12" max="12"/>
    <col width="25" customWidth="1" style="20" min="13" max="13"/>
    <col width="15" customWidth="1" style="20" min="14" max="14"/>
  </cols>
  <sheetData>
    <row r="1">
      <c r="A1" s="41" t="inlineStr">
        <is>
          <t>14. Cas de test — EMO (Émotions)</t>
        </is>
      </c>
    </row>
    <row r="2"/>
    <row r="3">
      <c r="A3" s="42" t="inlineStr">
        <is>
          <t>ID</t>
        </is>
      </c>
      <c r="B3" s="42" t="inlineStr">
        <is>
          <t>Titre</t>
        </is>
      </c>
      <c r="C3" s="42" t="inlineStr">
        <is>
          <t>Niveau</t>
        </is>
      </c>
      <c r="D3" s="42" t="inlineStr">
        <is>
          <t>Criticité</t>
        </is>
      </c>
      <c r="E3" s="42" t="inlineStr">
        <is>
          <t>Préconditions</t>
        </is>
      </c>
      <c r="F3" s="42" t="inlineStr">
        <is>
          <t>Données</t>
        </is>
      </c>
      <c r="G3" s="42" t="inlineStr">
        <is>
          <t>Étapes</t>
        </is>
      </c>
      <c r="H3" s="42" t="inlineStr">
        <is>
          <t>Résultat attendu</t>
        </is>
      </c>
      <c r="I3" s="42" t="inlineStr">
        <is>
          <t>Automatisé</t>
        </is>
      </c>
      <c r="J3" s="42" t="inlineStr">
        <is>
          <t>Statut</t>
        </is>
      </c>
      <c r="K3" s="42" t="inlineStr">
        <is>
          <t>Date exécution</t>
        </is>
      </c>
      <c r="L3" s="42" t="inlineStr">
        <is>
          <t>Testeur</t>
        </is>
      </c>
      <c r="M3" s="42" t="inlineStr">
        <is>
          <t>Commentaire</t>
        </is>
      </c>
      <c r="N3" s="42" t="inlineStr">
        <is>
          <t>ID anomalie</t>
        </is>
      </c>
    </row>
    <row r="4">
      <c r="A4" s="39" t="inlineStr">
        <is>
          <t>CT-EMO-001</t>
        </is>
      </c>
      <c r="B4" s="39" t="inlineStr">
        <is>
          <t>GET /api/emotions → liste vide</t>
        </is>
      </c>
      <c r="C4" s="39" t="inlineStr">
        <is>
          <t>Intégration</t>
        </is>
      </c>
      <c r="D4" s="39" t="inlineStr">
        <is>
          <t>Moyenne</t>
        </is>
      </c>
      <c r="E4" s="39" t="inlineStr">
        <is>
          <t>Base vide</t>
        </is>
      </c>
      <c r="F4" s="39" t="inlineStr">
        <is>
          <t>—</t>
        </is>
      </c>
      <c r="G4" s="39" t="inlineStr">
        <is>
          <t>GET /api/emotions</t>
        </is>
      </c>
      <c r="H4" s="39" t="inlineStr">
        <is>
          <t>HTTP 200 — body=[]</t>
        </is>
      </c>
      <c r="I4" s="39" t="inlineStr">
        <is>
          <t>✅ tests/integration/emotions.test.ts</t>
        </is>
      </c>
      <c r="J4" s="39" t="inlineStr">
        <is>
          <t>À exécuter</t>
        </is>
      </c>
      <c r="K4" s="39" t="n"/>
      <c r="L4" s="39" t="n"/>
      <c r="M4" s="39" t="n"/>
      <c r="N4" s="39" t="n"/>
    </row>
    <row r="5">
      <c r="A5" s="39" t="inlineStr">
        <is>
          <t>CT-EMO-002</t>
        </is>
      </c>
      <c r="B5" s="39" t="inlineStr">
        <is>
          <t>GET /api/emotions → retourne émotions après seed</t>
        </is>
      </c>
      <c r="C5" s="39" t="inlineStr">
        <is>
          <t>Intégration</t>
        </is>
      </c>
      <c r="D5" s="39" t="inlineStr">
        <is>
          <t>Haute</t>
        </is>
      </c>
      <c r="E5" s="39" t="inlineStr">
        <is>
          <t>Émotion "Heureux" seedée</t>
        </is>
      </c>
      <c r="F5" s="39" t="inlineStr">
        <is>
          <t>—</t>
        </is>
      </c>
      <c r="G5" s="39" t="inlineStr">
        <is>
          <t>GET /api/emotions</t>
        </is>
      </c>
      <c r="H5" s="39" t="inlineStr">
        <is>
          <t>HTTP 200 — body.length &gt; 0</t>
        </is>
      </c>
      <c r="I5" s="39" t="inlineStr">
        <is>
          <t>✅ tests/integration/emotions.test.ts</t>
        </is>
      </c>
      <c r="J5" s="39" t="inlineStr">
        <is>
          <t>À exécuter</t>
        </is>
      </c>
      <c r="K5" s="39" t="n"/>
      <c r="L5" s="39" t="n"/>
      <c r="M5" s="39" t="n"/>
      <c r="N5" s="39" t="n"/>
    </row>
    <row r="6">
      <c r="A6" s="39" t="inlineStr">
        <is>
          <t>CT-EMO-003</t>
        </is>
      </c>
      <c r="B6" s="39" t="inlineStr">
        <is>
          <t>GET /api/emotions/[id] → 404 si inexistant</t>
        </is>
      </c>
      <c r="C6" s="39" t="inlineStr">
        <is>
          <t>Intégration</t>
        </is>
      </c>
      <c r="D6" s="39" t="inlineStr">
        <is>
          <t>Moyenne</t>
        </is>
      </c>
      <c r="E6" s="39" t="inlineStr">
        <is>
          <t>Aucune émotion id=9999</t>
        </is>
      </c>
      <c r="F6" s="39" t="inlineStr">
        <is>
          <t>id=9999</t>
        </is>
      </c>
      <c r="G6" s="39" t="inlineStr">
        <is>
          <t>GET /api/emotions/9999</t>
        </is>
      </c>
      <c r="H6" s="39" t="inlineStr">
        <is>
          <t>HTTP 404</t>
        </is>
      </c>
      <c r="I6" s="39" t="inlineStr">
        <is>
          <t>✅ tests/integration/emotions-crud.test.ts</t>
        </is>
      </c>
      <c r="J6" s="39" t="inlineStr">
        <is>
          <t>À exécuter</t>
        </is>
      </c>
      <c r="K6" s="39" t="n"/>
      <c r="L6" s="39" t="n"/>
      <c r="M6" s="39" t="n"/>
      <c r="N6" s="39" t="n"/>
    </row>
    <row r="7">
      <c r="A7" s="39" t="inlineStr">
        <is>
          <t>CT-EMO-004</t>
        </is>
      </c>
      <c r="B7" s="39" t="inlineStr">
        <is>
          <t>GET /api/emotions/[id] → retourne l'émotion</t>
        </is>
      </c>
      <c r="C7" s="39" t="inlineStr">
        <is>
          <t>Intégration</t>
        </is>
      </c>
      <c r="D7" s="39" t="inlineStr">
        <is>
          <t>Haute</t>
        </is>
      </c>
      <c r="E7" s="39" t="inlineStr">
        <is>
          <t>Émotion "Heureux" seedée</t>
        </is>
      </c>
      <c r="F7" s="39" t="inlineStr">
        <is>
          <t>—</t>
        </is>
      </c>
      <c r="G7" s="39" t="inlineStr">
        <is>
          <t>GET /api/emotions/[id]</t>
        </is>
      </c>
      <c r="H7" s="39" t="inlineStr">
        <is>
          <t>HTTP 200 — body.label="Heureux"</t>
        </is>
      </c>
      <c r="I7" s="39" t="inlineStr">
        <is>
          <t>✅ tests/integration/emotions-crud.test.ts</t>
        </is>
      </c>
      <c r="J7" s="39" t="inlineStr">
        <is>
          <t>À exécuter</t>
        </is>
      </c>
      <c r="K7" s="39" t="n"/>
      <c r="L7" s="39" t="n"/>
      <c r="M7" s="39" t="n"/>
      <c r="N7" s="39" t="n"/>
    </row>
    <row r="8">
      <c r="A8" s="39" t="inlineStr">
        <is>
          <t>CT-EMO-005</t>
        </is>
      </c>
      <c r="B8" s="39" t="inlineStr">
        <is>
          <t>PUT /api/emotions/[id] → 403 sans session admin</t>
        </is>
      </c>
      <c r="C8" s="39" t="inlineStr">
        <is>
          <t>Intégration</t>
        </is>
      </c>
      <c r="D8" s="39" t="inlineStr">
        <is>
          <t>Bloquant (sécurité)</t>
        </is>
      </c>
      <c r="E8" s="39" t="inlineStr">
        <is>
          <t>Aucune session admin</t>
        </is>
      </c>
      <c r="F8" s="39" t="inlineStr">
        <is>
          <t>{ label: "X", categoryId: 1 }</t>
        </is>
      </c>
      <c r="G8" s="39" t="inlineStr">
        <is>
          <t>PUT /api/emotions/1 sans session</t>
        </is>
      </c>
      <c r="H8" s="39" t="inlineStr">
        <is>
          <t>HTTP 403</t>
        </is>
      </c>
      <c r="I8" s="39" t="inlineStr">
        <is>
          <t>✅ tests/integration/emotions-crud.test.ts</t>
        </is>
      </c>
      <c r="J8" s="39" t="inlineStr">
        <is>
          <t>À exécuter</t>
        </is>
      </c>
      <c r="K8" s="39" t="n"/>
      <c r="L8" s="39" t="n"/>
      <c r="M8" s="39" t="n"/>
      <c r="N8" s="39" t="n"/>
    </row>
    <row r="9">
      <c r="A9" s="39" t="inlineStr">
        <is>
          <t>CT-EMO-006</t>
        </is>
      </c>
      <c r="B9" s="39" t="inlineStr">
        <is>
          <t>PUT /api/emotions/[id] → 400 validation</t>
        </is>
      </c>
      <c r="C9" s="39" t="inlineStr">
        <is>
          <t>Intégration</t>
        </is>
      </c>
      <c r="D9" s="39" t="inlineStr">
        <is>
          <t>Haute</t>
        </is>
      </c>
      <c r="E9" s="39" t="inlineStr">
        <is>
          <t>Session admin</t>
        </is>
      </c>
      <c r="F9" s="39" t="inlineStr">
        <is>
          <t>{ label: "", categoryId: "not-a-number" }</t>
        </is>
      </c>
      <c r="G9" s="39" t="inlineStr">
        <is>
          <t>PUT /api/emotions/1</t>
        </is>
      </c>
      <c r="H9" s="39" t="inlineStr">
        <is>
          <t>HTTP 400 — body.fieldErrors défini</t>
        </is>
      </c>
      <c r="I9" s="39" t="inlineStr">
        <is>
          <t>✅ tests/integration/emotions-crud.test.ts</t>
        </is>
      </c>
      <c r="J9" s="39" t="inlineStr">
        <is>
          <t>À exécuter</t>
        </is>
      </c>
      <c r="K9" s="39" t="n"/>
      <c r="L9" s="39" t="n"/>
      <c r="M9" s="39" t="n"/>
      <c r="N9" s="39" t="n"/>
    </row>
    <row r="10">
      <c r="A10" s="39" t="inlineStr">
        <is>
          <t>CT-EMO-007</t>
        </is>
      </c>
      <c r="B10" s="39" t="inlineStr">
        <is>
          <t>PUT /api/emotions/[id] → mise à jour nominale</t>
        </is>
      </c>
      <c r="C10" s="39" t="inlineStr">
        <is>
          <t>Intégration</t>
        </is>
      </c>
      <c r="D10" s="39" t="inlineStr">
        <is>
          <t>Haute</t>
        </is>
      </c>
      <c r="E10" s="39" t="inlineStr">
        <is>
          <t>Session admin, émotion seedée</t>
        </is>
      </c>
      <c r="F10" s="39" t="inlineStr">
        <is>
          <t>{ label: "Très heureux", categoryId: catId }</t>
        </is>
      </c>
      <c r="G10" s="39" t="inlineStr">
        <is>
          <t>PUT /api/emotions/[id]</t>
        </is>
      </c>
      <c r="H10" s="39" t="inlineStr">
        <is>
          <t>HTTP 200 — body.success === true</t>
        </is>
      </c>
      <c r="I10" s="39" t="inlineStr">
        <is>
          <t>✅ tests/integration/emotions-crud.test.ts</t>
        </is>
      </c>
      <c r="J10" s="39" t="inlineStr">
        <is>
          <t>À exécuter</t>
        </is>
      </c>
      <c r="K10" s="39" t="n"/>
      <c r="L10" s="39" t="n"/>
      <c r="M10" s="39" t="n"/>
      <c r="N10" s="39" t="n"/>
    </row>
    <row r="11">
      <c r="A11" s="39" t="inlineStr">
        <is>
          <t>CT-EMO-008</t>
        </is>
      </c>
      <c r="B11" s="39" t="inlineStr">
        <is>
          <t>DELETE /api/emotions/[id] → 403 sans session admin</t>
        </is>
      </c>
      <c r="C11" s="39" t="inlineStr">
        <is>
          <t>Intégration</t>
        </is>
      </c>
      <c r="D11" s="39" t="inlineStr">
        <is>
          <t>Bloquant (sécurité)</t>
        </is>
      </c>
      <c r="E11" s="39" t="inlineStr">
        <is>
          <t>Aucune session admin</t>
        </is>
      </c>
      <c r="F11" s="39" t="inlineStr">
        <is>
          <t>—</t>
        </is>
      </c>
      <c r="G11" s="39" t="inlineStr">
        <is>
          <t>DELETE /api/emotions/1 sans session</t>
        </is>
      </c>
      <c r="H11" s="39" t="inlineStr">
        <is>
          <t>HTTP 403</t>
        </is>
      </c>
      <c r="I11" s="39" t="inlineStr">
        <is>
          <t>✅ tests/integration/emotions-crud.test.ts</t>
        </is>
      </c>
      <c r="J11" s="39" t="inlineStr">
        <is>
          <t>À exécuter</t>
        </is>
      </c>
      <c r="K11" s="39" t="n"/>
      <c r="L11" s="39" t="n"/>
      <c r="M11" s="39" t="n"/>
      <c r="N11" s="39" t="n"/>
    </row>
    <row r="12">
      <c r="A12" s="39" t="inlineStr">
        <is>
          <t>CT-EMO-009</t>
        </is>
      </c>
      <c r="B12" s="39" t="inlineStr">
        <is>
          <t>DELETE /api/emotions/[id] → suppression nominale</t>
        </is>
      </c>
      <c r="C12" s="39" t="inlineStr">
        <is>
          <t>Intégration</t>
        </is>
      </c>
      <c r="D12" s="39" t="inlineStr">
        <is>
          <t>Haute</t>
        </is>
      </c>
      <c r="E12" s="39" t="inlineStr">
        <is>
          <t>Session admin, émotion seedée</t>
        </is>
      </c>
      <c r="F12" s="39" t="inlineStr">
        <is>
          <t>—</t>
        </is>
      </c>
      <c r="G12" s="39" t="inlineStr">
        <is>
          <t>DELETE /api/emotions/[id]</t>
        </is>
      </c>
      <c r="H12" s="39" t="inlineStr">
        <is>
          <t>HTTP 200 — body.success === true</t>
        </is>
      </c>
      <c r="I12" s="39" t="inlineStr">
        <is>
          <t>✅ tests/integration/emotions-crud.test.ts</t>
        </is>
      </c>
      <c r="J12" s="39" t="inlineStr">
        <is>
          <t>À exécuter</t>
        </is>
      </c>
      <c r="K12" s="39" t="n"/>
      <c r="L12" s="39" t="n"/>
      <c r="M12" s="39" t="n"/>
      <c r="N12" s="39" t="n"/>
    </row>
    <row r="13">
      <c r="A13" s="39" t="inlineStr">
        <is>
          <t>CT-EMO-010</t>
        </is>
      </c>
      <c r="B13" s="39" t="inlineStr">
        <is>
          <t>GET /api/emotions/categories → liste vide</t>
        </is>
      </c>
      <c r="C13" s="39" t="inlineStr">
        <is>
          <t>Intégration</t>
        </is>
      </c>
      <c r="D13" s="39" t="inlineStr">
        <is>
          <t>Moyenne</t>
        </is>
      </c>
      <c r="E13" s="39" t="inlineStr">
        <is>
          <t>Aucune catégorie</t>
        </is>
      </c>
      <c r="F13" s="39" t="inlineStr">
        <is>
          <t>—</t>
        </is>
      </c>
      <c r="G13" s="39" t="inlineStr">
        <is>
          <t>GET /api/emotions/categories</t>
        </is>
      </c>
      <c r="H13" s="39" t="inlineStr">
        <is>
          <t>HTTP 200 — body est un tableau</t>
        </is>
      </c>
      <c r="I13" s="39" t="inlineStr">
        <is>
          <t>✅ tests/integration/emotions.test.ts</t>
        </is>
      </c>
      <c r="J13" s="39" t="inlineStr">
        <is>
          <t>À exécuter</t>
        </is>
      </c>
      <c r="K13" s="39" t="n"/>
      <c r="L13" s="39" t="n"/>
      <c r="M13" s="39" t="n"/>
      <c r="N13" s="39" t="n"/>
    </row>
    <row r="14">
      <c r="A14" s="39" t="inlineStr">
        <is>
          <t>CT-EMO-011</t>
        </is>
      </c>
      <c r="B14" s="39" t="inlineStr">
        <is>
          <t>GET /api/emotions/categories → avec données après seed</t>
        </is>
      </c>
      <c r="C14" s="39" t="inlineStr">
        <is>
          <t>Intégration</t>
        </is>
      </c>
      <c r="D14" s="39" t="inlineStr">
        <is>
          <t>Haute</t>
        </is>
      </c>
      <c r="E14" s="39" t="inlineStr">
        <is>
          <t>Catégorie seedée</t>
        </is>
      </c>
      <c r="F14" s="39" t="inlineStr">
        <is>
          <t>—</t>
        </is>
      </c>
      <c r="G14" s="39" t="inlineStr">
        <is>
          <t>GET /api/emotions/categories</t>
        </is>
      </c>
      <c r="H14" s="39" t="inlineStr">
        <is>
          <t>HTTP 200 — body.length &gt; 0</t>
        </is>
      </c>
      <c r="I14" s="39" t="inlineStr">
        <is>
          <t>✅ tests/integration/emotions.test.ts</t>
        </is>
      </c>
      <c r="J14" s="39" t="inlineStr">
        <is>
          <t>À exécuter</t>
        </is>
      </c>
      <c r="K14" s="39" t="n"/>
      <c r="L14" s="39" t="n"/>
      <c r="M14" s="39" t="n"/>
      <c r="N14" s="39" t="n"/>
    </row>
    <row r="15">
      <c r="A15" s="39" t="inlineStr">
        <is>
          <t>CT-EMO-012</t>
        </is>
      </c>
      <c r="B15" s="39" t="inlineStr">
        <is>
          <t>GET /api/emotions/categories/[id] → 404 si inexistant</t>
        </is>
      </c>
      <c r="C15" s="39" t="inlineStr">
        <is>
          <t>Intégration</t>
        </is>
      </c>
      <c r="D15" s="39" t="inlineStr">
        <is>
          <t>Moyenne</t>
        </is>
      </c>
      <c r="E15" s="39" t="inlineStr">
        <is>
          <t>Aucune catégorie id=9999</t>
        </is>
      </c>
      <c r="F15" s="39" t="inlineStr">
        <is>
          <t>id=9999</t>
        </is>
      </c>
      <c r="G15" s="39" t="inlineStr">
        <is>
          <t>GET /api/emotions/categories/9999</t>
        </is>
      </c>
      <c r="H15" s="39" t="inlineStr">
        <is>
          <t>HTTP 404</t>
        </is>
      </c>
      <c r="I15" s="39" t="inlineStr">
        <is>
          <t>✅ tests/integration/emotions-crud.test.ts</t>
        </is>
      </c>
      <c r="J15" s="39" t="inlineStr">
        <is>
          <t>À exécuter</t>
        </is>
      </c>
      <c r="K15" s="39" t="n"/>
      <c r="L15" s="39" t="n"/>
      <c r="M15" s="39" t="n"/>
      <c r="N15" s="39" t="n"/>
    </row>
    <row r="16">
      <c r="A16" s="39" t="inlineStr">
        <is>
          <t>CT-EMO-013</t>
        </is>
      </c>
      <c r="B16" s="39" t="inlineStr">
        <is>
          <t>GET /api/emotions/categories/[id] → retourne catégorie</t>
        </is>
      </c>
      <c r="C16" s="39" t="inlineStr">
        <is>
          <t>Intégration</t>
        </is>
      </c>
      <c r="D16" s="39" t="inlineStr">
        <is>
          <t>Haute</t>
        </is>
      </c>
      <c r="E16" s="39" t="inlineStr">
        <is>
          <t>Catégorie "Tristesse" insérée</t>
        </is>
      </c>
      <c r="F16" s="39" t="inlineStr">
        <is>
          <t>{ label: "Tristesse", colorHex: "#0000FF", iconName: "sad" }</t>
        </is>
      </c>
      <c r="G16" s="39" t="inlineStr">
        <is>
          <t>GET /api/emotions/categories/[id]</t>
        </is>
      </c>
      <c r="H16" s="39" t="inlineStr">
        <is>
          <t>HTTP 200 — body.label="Tristesse"</t>
        </is>
      </c>
      <c r="I16" s="39" t="inlineStr">
        <is>
          <t>✅ tests/integration/emotions-crud.test.ts</t>
        </is>
      </c>
      <c r="J16" s="39" t="inlineStr">
        <is>
          <t>À exécuter</t>
        </is>
      </c>
      <c r="K16" s="39" t="n"/>
      <c r="L16" s="39" t="n"/>
      <c r="M16" s="39" t="n"/>
      <c r="N16" s="39" t="n"/>
    </row>
    <row r="17">
      <c r="A17" s="39" t="inlineStr">
        <is>
          <t>CT-EMO-014</t>
        </is>
      </c>
      <c r="B17" s="39" t="inlineStr">
        <is>
          <t>PUT /api/emotions/categories/[id] → 403 sans session admin</t>
        </is>
      </c>
      <c r="C17" s="39" t="inlineStr">
        <is>
          <t>Intégration</t>
        </is>
      </c>
      <c r="D17" s="39" t="inlineStr">
        <is>
          <t>Bloquant (sécurité)</t>
        </is>
      </c>
      <c r="E17" s="39" t="inlineStr">
        <is>
          <t>Aucune session admin</t>
        </is>
      </c>
      <c r="F17" s="39" t="inlineStr">
        <is>
          <t>{ label: "X", colorHex: "#FF0000", iconName: "icon" }</t>
        </is>
      </c>
      <c r="G17" s="39" t="inlineStr">
        <is>
          <t>PUT /api/emotions/categories/1 sans session</t>
        </is>
      </c>
      <c r="H17" s="39" t="inlineStr">
        <is>
          <t>HTTP 403</t>
        </is>
      </c>
      <c r="I17" s="39" t="inlineStr">
        <is>
          <t>✅ tests/integration/emotions-crud.test.ts</t>
        </is>
      </c>
      <c r="J17" s="39" t="inlineStr">
        <is>
          <t>À exécuter</t>
        </is>
      </c>
      <c r="K17" s="39" t="n"/>
      <c r="L17" s="39" t="n"/>
      <c r="M17" s="39" t="n"/>
      <c r="N17" s="39" t="n"/>
    </row>
    <row r="18">
      <c r="A18" s="39" t="inlineStr">
        <is>
          <t>CT-EMO-015</t>
        </is>
      </c>
      <c r="B18" s="39" t="inlineStr">
        <is>
          <t>PUT /api/emotions/categories/[id] → 400 validation</t>
        </is>
      </c>
      <c r="C18" s="39" t="inlineStr">
        <is>
          <t>Intégration</t>
        </is>
      </c>
      <c r="D18" s="39" t="inlineStr">
        <is>
          <t>Haute</t>
        </is>
      </c>
      <c r="E18" s="39" t="inlineStr">
        <is>
          <t>Session admin</t>
        </is>
      </c>
      <c r="F18" s="39" t="inlineStr">
        <is>
          <t>{ label: "", colorHex: "bad-color", iconName: "" }</t>
        </is>
      </c>
      <c r="G18" s="39" t="inlineStr">
        <is>
          <t>PUT /api/emotions/categories/1</t>
        </is>
      </c>
      <c r="H18" s="39" t="inlineStr">
        <is>
          <t>HTTP 400 — body.fieldErrors défini</t>
        </is>
      </c>
      <c r="I18" s="39" t="inlineStr">
        <is>
          <t>✅ tests/integration/emotions-crud.test.ts</t>
        </is>
      </c>
      <c r="J18" s="39" t="inlineStr">
        <is>
          <t>À exécuter</t>
        </is>
      </c>
      <c r="K18" s="39" t="n"/>
      <c r="L18" s="39" t="n"/>
      <c r="M18" s="39" t="n"/>
      <c r="N18" s="39" t="n"/>
    </row>
    <row r="19">
      <c r="A19" s="39" t="inlineStr">
        <is>
          <t>CT-EMO-016</t>
        </is>
      </c>
      <c r="B19" s="39" t="inlineStr">
        <is>
          <t>PUT /api/emotions/categories/[id] → mise à jour nominale</t>
        </is>
      </c>
      <c r="C19" s="39" t="inlineStr">
        <is>
          <t>Intégration</t>
        </is>
      </c>
      <c r="D19" s="39" t="inlineStr">
        <is>
          <t>Haute</t>
        </is>
      </c>
      <c r="E19" s="39" t="inlineStr">
        <is>
          <t>Session admin, catégorie "Joie" existante</t>
        </is>
      </c>
      <c r="F19" s="39" t="inlineStr">
        <is>
          <t>{ label: "Grande Joie", colorHex: "#FFD700", iconName: "smile" }</t>
        </is>
      </c>
      <c r="G19" s="39" t="inlineStr">
        <is>
          <t>PUT /api/emotions/categories/[id]</t>
        </is>
      </c>
      <c r="H19" s="39" t="inlineStr">
        <is>
          <t>HTTP 200 — body.success === true</t>
        </is>
      </c>
      <c r="I19" s="39" t="inlineStr">
        <is>
          <t>✅ tests/integration/emotions-crud.test.ts</t>
        </is>
      </c>
      <c r="J19" s="39" t="inlineStr">
        <is>
          <t>À exécuter</t>
        </is>
      </c>
      <c r="K19" s="39" t="n"/>
      <c r="L19" s="39" t="n"/>
      <c r="M19" s="39" t="n"/>
      <c r="N19" s="39" t="n"/>
    </row>
    <row r="20">
      <c r="A20" s="39" t="inlineStr">
        <is>
          <t>CT-EMO-017</t>
        </is>
      </c>
      <c r="B20" s="39" t="inlineStr">
        <is>
          <t>DELETE /api/emotions/categories/[id] → 403 sans session admin</t>
        </is>
      </c>
      <c r="C20" s="39" t="inlineStr">
        <is>
          <t>Intégration</t>
        </is>
      </c>
      <c r="D20" s="39" t="inlineStr">
        <is>
          <t>Bloquant (sécurité)</t>
        </is>
      </c>
      <c r="E20" s="39" t="inlineStr">
        <is>
          <t>Aucune session admin</t>
        </is>
      </c>
      <c r="F20" s="39" t="inlineStr">
        <is>
          <t>—</t>
        </is>
      </c>
      <c r="G20" s="39" t="inlineStr">
        <is>
          <t>DELETE /api/emotions/categories/1 sans session</t>
        </is>
      </c>
      <c r="H20" s="39" t="inlineStr">
        <is>
          <t>HTTP 403</t>
        </is>
      </c>
      <c r="I20" s="39" t="inlineStr">
        <is>
          <t>✅ tests/integration/emotions-crud.test.ts</t>
        </is>
      </c>
      <c r="J20" s="39" t="inlineStr">
        <is>
          <t>À exécuter</t>
        </is>
      </c>
      <c r="K20" s="39" t="n"/>
      <c r="L20" s="39" t="n"/>
      <c r="M20" s="39" t="n"/>
      <c r="N20" s="39" t="n"/>
    </row>
    <row r="21">
      <c r="A21" s="39" t="inlineStr">
        <is>
          <t>CT-EMO-018</t>
        </is>
      </c>
      <c r="B21" s="39" t="inlineStr">
        <is>
          <t>DELETE /api/emotions/categories/[id] → suppression nominale</t>
        </is>
      </c>
      <c r="C21" s="39" t="inlineStr">
        <is>
          <t>Intégration</t>
        </is>
      </c>
      <c r="D21" s="39" t="inlineStr">
        <is>
          <t>Haute</t>
        </is>
      </c>
      <c r="E21" s="39" t="inlineStr">
        <is>
          <t>Session admin, catégorie "Colère" existante</t>
        </is>
      </c>
      <c r="F21" s="39" t="inlineStr">
        <is>
          <t>—</t>
        </is>
      </c>
      <c r="G21" s="39" t="inlineStr">
        <is>
          <t>DELETE /api/emotions/categories/[id]</t>
        </is>
      </c>
      <c r="H21" s="39" t="inlineStr">
        <is>
          <t>HTTP 200 — body.success === true</t>
        </is>
      </c>
      <c r="I21" s="39" t="inlineStr">
        <is>
          <t>✅ tests/integration/emotions-crud.test.ts</t>
        </is>
      </c>
      <c r="J21" s="39" t="inlineStr">
        <is>
          <t>À exécuter</t>
        </is>
      </c>
      <c r="K21" s="39" t="n"/>
      <c r="L21" s="39" t="n"/>
      <c r="M21" s="39" t="n"/>
      <c r="N21" s="39" t="n"/>
    </row>
    <row r="22">
      <c r="A22" s="39" t="inlineStr">
        <is>
          <t>CT-EMO-019</t>
        </is>
      </c>
      <c r="B22" s="39" t="inlineStr">
        <is>
          <t>POST /api/emotions/categories → 403 sans session admin</t>
        </is>
      </c>
      <c r="C22" s="39" t="inlineStr">
        <is>
          <t>Intégration</t>
        </is>
      </c>
      <c r="D22" s="39" t="inlineStr">
        <is>
          <t>Bloquant (sécurité)</t>
        </is>
      </c>
      <c r="E22" s="39" t="inlineStr">
        <is>
          <t>Aucune session admin</t>
        </is>
      </c>
      <c r="F22" s="39" t="inlineStr">
        <is>
          <t>{ label: "Test", colorHex: "#FFFFFF", iconName: "smile" }</t>
        </is>
      </c>
      <c r="G22" s="39" t="inlineStr">
        <is>
          <t>POST /api/emotions/categories sans session</t>
        </is>
      </c>
      <c r="H22" s="39" t="inlineStr">
        <is>
          <t>HTTP 403</t>
        </is>
      </c>
      <c r="I22" s="39" t="inlineStr">
        <is>
          <t>✅ tests/integration/emotions.test.ts</t>
        </is>
      </c>
      <c r="J22" s="39" t="inlineStr">
        <is>
          <t>À exécuter</t>
        </is>
      </c>
      <c r="K22" s="39" t="n"/>
      <c r="L22" s="39" t="n"/>
      <c r="M22" s="39" t="n"/>
      <c r="N22" s="39" t="n"/>
    </row>
    <row r="23">
      <c r="A23" s="39" t="inlineStr">
        <is>
          <t>CT-EMO-020</t>
        </is>
      </c>
      <c r="B23" s="39" t="inlineStr">
        <is>
          <t>POST /api/emotions/categories → 400 validation</t>
        </is>
      </c>
      <c r="C23" s="39" t="inlineStr">
        <is>
          <t>Intégration</t>
        </is>
      </c>
      <c r="D23" s="39" t="inlineStr">
        <is>
          <t>Haute</t>
        </is>
      </c>
      <c r="E23" s="39" t="inlineStr">
        <is>
          <t>Session admin</t>
        </is>
      </c>
      <c r="F23" s="39" t="inlineStr">
        <is>
          <t>{ label: "", colorHex: "invalid", iconName: "" }</t>
        </is>
      </c>
      <c r="G23" s="39" t="inlineStr">
        <is>
          <t>POST /api/emotions/categories</t>
        </is>
      </c>
      <c r="H23" s="39" t="inlineStr">
        <is>
          <t>HTTP 400 — body.fieldErrors défini</t>
        </is>
      </c>
      <c r="I23" s="39" t="inlineStr">
        <is>
          <t>✅ tests/integration/emotions.test.ts</t>
        </is>
      </c>
      <c r="J23" s="39" t="inlineStr">
        <is>
          <t>À exécuter</t>
        </is>
      </c>
      <c r="K23" s="39" t="n"/>
      <c r="L23" s="39" t="n"/>
      <c r="M23" s="39" t="n"/>
      <c r="N23" s="39" t="n"/>
    </row>
    <row r="24">
      <c r="A24" s="39" t="inlineStr">
        <is>
          <t>CT-EMO-021</t>
        </is>
      </c>
      <c r="B24" s="39" t="inlineStr">
        <is>
          <t>POST /api/emotions/categories → création nominale</t>
        </is>
      </c>
      <c r="C24" s="39" t="inlineStr">
        <is>
          <t>Intégration</t>
        </is>
      </c>
      <c r="D24" s="39" t="inlineStr">
        <is>
          <t>Haute</t>
        </is>
      </c>
      <c r="E24" s="39" t="inlineStr">
        <is>
          <t>Session admin</t>
        </is>
      </c>
      <c r="F24" s="39" t="inlineStr">
        <is>
          <t>{ label: "Peur", colorHex: "#800080", iconName: "fear" }</t>
        </is>
      </c>
      <c r="G24" s="39" t="inlineStr">
        <is>
          <t>POST /api/emotions/categories</t>
        </is>
      </c>
      <c r="H24" s="39" t="inlineStr">
        <is>
          <t>HTTP 200 — body.success === true</t>
        </is>
      </c>
      <c r="I24" s="39" t="inlineStr">
        <is>
          <t>✅ tests/integration/emotions.test.ts</t>
        </is>
      </c>
      <c r="J24" s="39" t="inlineStr">
        <is>
          <t>À exécuter</t>
        </is>
      </c>
      <c r="K24" s="39" t="n"/>
      <c r="L24" s="39" t="n"/>
      <c r="M24" s="39" t="n"/>
      <c r="N24" s="39" t="n"/>
    </row>
  </sheetData>
  <mergeCells count="1"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45" customWidth="1" style="19" min="2" max="2"/>
    <col width="14" customWidth="1" style="19" min="3" max="3"/>
  </cols>
  <sheetData>
    <row r="1" ht="27.75" customHeight="1" s="20">
      <c r="A1" s="21" t="inlineStr">
        <is>
          <t>13. Plan de régression</t>
        </is>
      </c>
    </row>
    <row r="3" ht="15" customHeight="1" s="20">
      <c r="A3" s="22" t="inlineStr">
        <is>
          <t>À exécuter avant chaque release, sur l'environnement de recette.</t>
        </is>
      </c>
    </row>
    <row r="5" ht="15" customHeight="1" s="20">
      <c r="A5" s="31" t="inlineStr">
        <is>
          <t>13.1 Régression critique (~25 min)</t>
        </is>
      </c>
    </row>
    <row r="6" ht="30" customHeight="1" s="20">
      <c r="A6" s="32" t="inlineStr">
        <is>
          <t>ID</t>
        </is>
      </c>
      <c r="B6" s="32" t="inlineStr">
        <is>
          <t>Description</t>
        </is>
      </c>
      <c r="C6" s="32" t="inlineStr">
        <is>
          <t>Module</t>
        </is>
      </c>
    </row>
    <row r="7" ht="15" customHeight="1" s="20">
      <c r="A7" s="33" t="inlineStr">
        <is>
          <t>CT-AUTH-001</t>
        </is>
      </c>
      <c r="B7" s="33" t="inlineStr">
        <is>
          <t>Inscription nominale</t>
        </is>
      </c>
      <c r="C7" s="33" t="inlineStr">
        <is>
          <t>AUTH</t>
        </is>
      </c>
    </row>
    <row r="8" ht="15" customHeight="1" s="20">
      <c r="A8" s="34" t="inlineStr">
        <is>
          <t>CT-AUTH-004</t>
        </is>
      </c>
      <c r="B8" s="34" t="inlineStr">
        <is>
          <t>Login nominal</t>
        </is>
      </c>
      <c r="C8" s="34" t="inlineStr">
        <is>
          <t>AUTH</t>
        </is>
      </c>
    </row>
    <row r="9" ht="15" customHeight="1" s="20">
      <c r="A9" s="33" t="inlineStr">
        <is>
          <t>CT-AUTH-007</t>
        </is>
      </c>
      <c r="B9" s="33" t="inlineStr">
        <is>
          <t>Login refusé compte banni</t>
        </is>
      </c>
      <c r="C9" s="33" t="inlineStr">
        <is>
          <t>AUTH</t>
        </is>
      </c>
    </row>
    <row r="10" ht="15" customHeight="1" s="20">
      <c r="A10" s="34" t="inlineStr">
        <is>
          <t>CT-JRN-002</t>
        </is>
      </c>
      <c r="B10" s="34" t="inlineStr">
        <is>
          <t>Création entrée avec note</t>
        </is>
      </c>
      <c r="C10" s="34" t="inlineStr">
        <is>
          <t>JRN</t>
        </is>
      </c>
    </row>
    <row r="11" ht="15" customHeight="1" s="20">
      <c r="A11" s="33" t="inlineStr">
        <is>
          <t>CT-JRN-003</t>
        </is>
      </c>
      <c r="B11" s="33" t="inlineStr">
        <is>
          <t>Lecture déchiffrée</t>
        </is>
      </c>
      <c r="C11" s="33" t="inlineStr">
        <is>
          <t>JRN</t>
        </is>
      </c>
    </row>
    <row r="12" ht="15" customHeight="1" s="20">
      <c r="A12" s="34" t="inlineStr">
        <is>
          <t>CT-JRN-005</t>
        </is>
      </c>
      <c r="B12" s="34" t="inlineStr">
        <is>
          <t>Note chiffrée en DB</t>
        </is>
      </c>
      <c r="C12" s="34" t="inlineStr">
        <is>
          <t>JRN</t>
        </is>
      </c>
    </row>
    <row r="13" ht="15" customHeight="1" s="20">
      <c r="A13" s="33" t="inlineStr">
        <is>
          <t>CT-JRN-009</t>
        </is>
      </c>
      <c r="B13" s="33" t="inlineStr">
        <is>
          <t>Ownership lecture</t>
        </is>
      </c>
      <c r="C13" s="33" t="inlineStr">
        <is>
          <t>JRN</t>
        </is>
      </c>
    </row>
    <row r="14" ht="15" customHeight="1" s="20">
      <c r="A14" s="34" t="inlineStr">
        <is>
          <t>CT-JRN-010</t>
        </is>
      </c>
      <c r="B14" s="34" t="inlineStr">
        <is>
          <t>Ownership lecture par ID</t>
        </is>
      </c>
      <c r="C14" s="34" t="inlineStr">
        <is>
          <t>JRN</t>
        </is>
      </c>
    </row>
    <row r="15" ht="15" customHeight="1" s="20">
      <c r="A15" s="33" t="inlineStr">
        <is>
          <t>CT-STAT-002</t>
        </is>
      </c>
      <c r="B15" s="33" t="inlineStr">
        <is>
          <t>Stats 30j</t>
        </is>
      </c>
      <c r="C15" s="33" t="inlineStr">
        <is>
          <t>STAT</t>
        </is>
      </c>
    </row>
    <row r="16" ht="15" customHeight="1" s="20">
      <c r="A16" s="34" t="inlineStr">
        <is>
          <t>CT-CONS-007</t>
        </is>
      </c>
      <c r="B16" s="34" t="inlineStr">
        <is>
          <t>Brouillon non visible</t>
        </is>
      </c>
      <c r="C16" s="34" t="inlineStr">
        <is>
          <t>CONS</t>
        </is>
      </c>
    </row>
    <row r="17" ht="15" customHeight="1" s="20">
      <c r="A17" s="33" t="inlineStr">
        <is>
          <t>CT-ADM-001</t>
        </is>
      </c>
      <c r="B17" s="33" t="inlineStr">
        <is>
          <t>Accès admin sans connexion</t>
        </is>
      </c>
      <c r="C17" s="33" t="inlineStr">
        <is>
          <t>ADM</t>
        </is>
      </c>
    </row>
    <row r="18" ht="15" customHeight="1" s="20">
      <c r="A18" s="34" t="inlineStr">
        <is>
          <t>CT-ADM-002</t>
        </is>
      </c>
      <c r="B18" s="34" t="inlineStr">
        <is>
          <t>Accès admin user simple</t>
        </is>
      </c>
      <c r="C18" s="34" t="inlineStr">
        <is>
          <t>ADM</t>
        </is>
      </c>
    </row>
    <row r="19" ht="15" customHeight="1" s="20">
      <c r="A19" s="33" t="inlineStr">
        <is>
          <t>CT-ADM-007</t>
        </is>
      </c>
      <c r="B19" s="33" t="inlineStr">
        <is>
          <t>Refus auto-modif</t>
        </is>
      </c>
      <c r="C19" s="33" t="inlineStr">
        <is>
          <t>ADM</t>
        </is>
      </c>
    </row>
    <row r="20" ht="15" customHeight="1" s="20">
      <c r="A20" s="34" t="inlineStr">
        <is>
          <t>CT-ADM-013</t>
        </is>
      </c>
      <c r="B20" s="34" t="inlineStr">
        <is>
          <t>Notes invisibles admin</t>
        </is>
      </c>
      <c r="C20" s="34" t="inlineStr">
        <is>
          <t>ADM</t>
        </is>
      </c>
    </row>
    <row r="21" ht="15" customHeight="1" s="20">
      <c r="A21" s="33" t="inlineStr">
        <is>
          <t>CT-MOB-001</t>
        </is>
      </c>
      <c r="B21" s="33" t="inlineStr">
        <is>
          <t>Persistance session</t>
        </is>
      </c>
      <c r="C21" s="33" t="inlineStr">
        <is>
          <t>MOB</t>
        </is>
      </c>
    </row>
    <row r="22" ht="15" customHeight="1" s="20">
      <c r="A22" s="34" t="inlineStr">
        <is>
          <t>CT-MOB-002</t>
        </is>
      </c>
      <c r="B22" s="34" t="inlineStr">
        <is>
          <t>Token effacé logout</t>
        </is>
      </c>
      <c r="C22" s="34" t="inlineStr">
        <is>
          <t>MOB</t>
        </is>
      </c>
    </row>
    <row r="23" ht="15" customHeight="1" s="20">
      <c r="A23" s="33" t="inlineStr">
        <is>
          <t>CT-SEC-006</t>
        </is>
      </c>
      <c r="B23" s="33" t="inlineStr">
        <is>
          <t>IDOR refusé</t>
        </is>
      </c>
      <c r="C23" s="33" t="inlineStr">
        <is>
          <t>SEC</t>
        </is>
      </c>
    </row>
    <row r="25" ht="15" customHeight="1" s="20">
      <c r="A25" s="31" t="inlineStr">
        <is>
          <t>13.2 Régression complète</t>
        </is>
      </c>
    </row>
    <row r="26" ht="15" customHeight="1" s="20">
      <c r="A26" s="43" t="inlineStr">
        <is>
          <t>L'intégralité des 90+ cas — exécutée 1× par mois ou avant une release majeure.</t>
        </is>
      </c>
    </row>
  </sheetData>
  <autoFilter ref="A6:C23"/>
  <mergeCells count="3">
    <mergeCell ref="A1:C1"/>
    <mergeCell ref="A26:C26"/>
    <mergeCell ref="A3:C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19" min="1" max="1"/>
    <col width="75" customWidth="1" style="19" min="2" max="2"/>
  </cols>
  <sheetData>
    <row r="1" ht="27.75" customHeight="1" s="20">
      <c r="A1" s="21" t="inlineStr">
        <is>
          <t>Annexe A — Modèle de fiche d'anomalie</t>
        </is>
      </c>
    </row>
    <row r="3" ht="30" customHeight="1" s="20">
      <c r="A3" s="32" t="inlineStr">
        <is>
          <t>Champ</t>
        </is>
      </c>
      <c r="B3" s="32" t="inlineStr">
        <is>
          <t>Valeur</t>
        </is>
      </c>
    </row>
    <row r="4" ht="15" customHeight="1" s="20">
      <c r="A4" s="33" t="inlineStr">
        <is>
          <t>ID anomalie</t>
        </is>
      </c>
      <c r="B4" s="33" t="inlineStr">
        <is>
          <t>ANO-2026-XXX</t>
        </is>
      </c>
    </row>
    <row r="5" ht="15" customHeight="1" s="20">
      <c r="A5" s="34" t="inlineStr">
        <is>
          <t>Date</t>
        </is>
      </c>
      <c r="B5" s="34" t="inlineStr">
        <is>
          <t>2026-MM-JJ</t>
        </is>
      </c>
    </row>
    <row r="6" ht="15" customHeight="1" s="20">
      <c r="A6" s="33" t="inlineStr">
        <is>
          <t>Détecté par</t>
        </is>
      </c>
      <c r="B6" s="33" t="inlineStr">
        <is>
          <t>&lt;nom&gt;</t>
        </is>
      </c>
    </row>
    <row r="7" ht="15" customHeight="1" s="20">
      <c r="A7" s="34" t="inlineStr">
        <is>
          <t>Environnement</t>
        </is>
      </c>
      <c r="B7" s="34" t="inlineStr">
        <is>
          <t>Local / Recette / Prod</t>
        </is>
      </c>
    </row>
    <row r="8" ht="15" customHeight="1" s="20">
      <c r="A8" s="33" t="inlineStr">
        <is>
          <t>Cas de test</t>
        </is>
      </c>
      <c r="B8" s="33" t="inlineStr">
        <is>
          <t>CT-XXX-YYY</t>
        </is>
      </c>
    </row>
    <row r="9" ht="15" customHeight="1" s="20">
      <c r="A9" s="34" t="inlineStr">
        <is>
          <t>Sévérité</t>
        </is>
      </c>
      <c r="B9" s="34" t="inlineStr">
        <is>
          <t>Bloquante / Majeure / Mineure / Cosmétique</t>
        </is>
      </c>
    </row>
    <row r="10" ht="15" customHeight="1" s="20">
      <c r="A10" s="33" t="inlineStr">
        <is>
          <t>Statut</t>
        </is>
      </c>
      <c r="B10" s="33" t="inlineStr">
        <is>
          <t>Ouvert / En cours / Corrigé / Vérifié / Fermé</t>
        </is>
      </c>
    </row>
    <row r="11" ht="15" customHeight="1" s="20">
      <c r="A11" s="34" t="inlineStr">
        <is>
          <t>Module</t>
        </is>
      </c>
      <c r="B11" s="34" t="inlineStr">
        <is>
          <t>AUTH / JRN / STAT / CONS / ADM / MOB / SEC</t>
        </is>
      </c>
    </row>
    <row r="12" ht="15" customHeight="1" s="20">
      <c r="A12" s="33" t="inlineStr">
        <is>
          <t>Description</t>
        </is>
      </c>
      <c r="B12" s="33" t="inlineStr">
        <is>
          <t>&lt;description courte&gt;</t>
        </is>
      </c>
    </row>
    <row r="13" ht="20.25" customHeight="1" s="20">
      <c r="A13" s="34" t="inlineStr">
        <is>
          <t>Étapes pour reproduire</t>
        </is>
      </c>
      <c r="B13" s="34" t="inlineStr">
        <is>
          <t>1. ...
2. ...</t>
        </is>
      </c>
    </row>
    <row r="14" ht="15" customHeight="1" s="20">
      <c r="A14" s="33" t="inlineStr">
        <is>
          <t>Résultat observé</t>
        </is>
      </c>
      <c r="B14" s="33" t="inlineStr">
        <is>
          <t>...</t>
        </is>
      </c>
    </row>
    <row r="15" ht="15" customHeight="1" s="20">
      <c r="A15" s="34" t="inlineStr">
        <is>
          <t>Résultat attendu</t>
        </is>
      </c>
      <c r="B15" s="34" t="inlineStr">
        <is>
          <t>...</t>
        </is>
      </c>
    </row>
    <row r="16" ht="15" customHeight="1" s="20">
      <c r="A16" s="33" t="inlineStr">
        <is>
          <t>Capture / Logs</t>
        </is>
      </c>
      <c r="B16" s="33" t="inlineStr">
        <is>
          <t>&lt;pièce jointe&gt;</t>
        </is>
      </c>
    </row>
    <row r="17" ht="30" customHeight="1" s="20">
      <c r="A17" s="34" t="inlineStr">
        <is>
          <t>Versions</t>
        </is>
      </c>
      <c r="B17" s="34" t="inlineStr">
        <is>
          <t>Web build : &lt;git sha&gt;
Mobile build : &lt;eas build id&gt;
DB migration : &lt;ID dernière migration&gt;</t>
        </is>
      </c>
    </row>
    <row r="18" ht="15" customHeight="1" s="20">
      <c r="A18" s="33" t="inlineStr">
        <is>
          <t>Affecté à</t>
        </is>
      </c>
      <c r="B18" s="33" t="inlineStr">
        <is>
          <t>&lt;développeur&gt;</t>
        </is>
      </c>
    </row>
    <row r="19" ht="15" customHeight="1" s="20">
      <c r="A19" s="34" t="inlineStr">
        <is>
          <t>Correction</t>
        </is>
      </c>
      <c r="B19" s="34" t="inlineStr">
        <is>
          <t>&lt;PR / commit&gt;</t>
        </is>
      </c>
    </row>
    <row r="20" ht="15" customHeight="1" s="20">
      <c r="A20" s="33" t="inlineStr">
        <is>
          <t>Test de NR</t>
        </is>
      </c>
      <c r="B20" s="33" t="inlineStr">
        <is>
          <t>&lt;CT à ajouter / modifier&gt;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9" min="1" max="1"/>
    <col width="50" customWidth="1" style="19" min="2" max="3"/>
    <col width="25" customWidth="1" style="19" min="4" max="4"/>
  </cols>
  <sheetData>
    <row r="1" ht="27.75" customHeight="1" s="20">
      <c r="A1" s="21" t="inlineStr">
        <is>
          <t>Annexe B — Classification des anomalies</t>
        </is>
      </c>
    </row>
    <row r="3" ht="30" customHeight="1" s="20">
      <c r="A3" s="32" t="inlineStr">
        <is>
          <t>Sévérité</t>
        </is>
      </c>
      <c r="B3" s="32" t="inlineStr">
        <is>
          <t>Critères</t>
        </is>
      </c>
      <c r="C3" s="32" t="inlineStr">
        <is>
          <t>Exemple</t>
        </is>
      </c>
      <c r="D3" s="32" t="inlineStr">
        <is>
          <t>Délai correctif</t>
        </is>
      </c>
    </row>
    <row r="4" ht="20.25" customHeight="1" s="20">
      <c r="A4" s="33" t="inlineStr">
        <is>
          <t>Bloquante</t>
        </is>
      </c>
      <c r="B4" s="33" t="inlineStr">
        <is>
          <t>Empêche l'utilisation OU compromet la sécurité OU perte de données</t>
        </is>
      </c>
      <c r="C4" s="33" t="inlineStr">
        <is>
          <t>Login impossible, IDOR, leak de données</t>
        </is>
      </c>
      <c r="D4" s="33" t="inlineStr">
        <is>
          <t>Hot-fix &lt; 24 h</t>
        </is>
      </c>
    </row>
    <row r="5" ht="15" customHeight="1" s="20">
      <c r="A5" s="34" t="inlineStr">
        <is>
          <t>Majeure</t>
        </is>
      </c>
      <c r="B5" s="34" t="inlineStr">
        <is>
          <t>Fonctionnalité importante dégradée</t>
        </is>
      </c>
      <c r="C5" s="34" t="inlineStr">
        <is>
          <t>Stats fausses, ban contournable, crash récurrent</t>
        </is>
      </c>
      <c r="D5" s="34" t="inlineStr">
        <is>
          <t>Avant release</t>
        </is>
      </c>
    </row>
    <row r="6" ht="15" customHeight="1" s="20">
      <c r="A6" s="33" t="inlineStr">
        <is>
          <t>Mineure</t>
        </is>
      </c>
      <c r="B6" s="33" t="inlineStr">
        <is>
          <t>Gêne mineure, contournement existe</t>
        </is>
      </c>
      <c r="C6" s="33" t="inlineStr">
        <is>
          <t>Filtre articles bug, message erreur peu clair</t>
        </is>
      </c>
      <c r="D6" s="33" t="inlineStr">
        <is>
          <t>Version + 1</t>
        </is>
      </c>
    </row>
    <row r="7" ht="15" customHeight="1" s="20">
      <c r="A7" s="34" t="inlineStr">
        <is>
          <t>Cosmétique</t>
        </is>
      </c>
      <c r="B7" s="34" t="inlineStr">
        <is>
          <t>Visuel, libellé, animation</t>
        </is>
      </c>
      <c r="C7" s="34" t="inlineStr">
        <is>
          <t>Typo, couleur off, animation saccadée</t>
        </is>
      </c>
      <c r="D7" s="34" t="inlineStr">
        <is>
          <t>Backlog</t>
        </is>
      </c>
    </row>
    <row r="10" ht="15" customHeight="1" s="20">
      <c r="A10" s="31" t="inlineStr">
        <is>
          <t>Décision de mise en production</t>
        </is>
      </c>
    </row>
    <row r="11" ht="30" customHeight="1" s="20">
      <c r="A11" s="32" t="inlineStr">
        <is>
          <t>Bloquantes ouvertes</t>
        </is>
      </c>
      <c r="B11" s="32" t="inlineStr">
        <is>
          <t>Majeures ouvertes</t>
        </is>
      </c>
      <c r="C11" s="32" t="inlineStr">
        <is>
          <t>Décision</t>
        </is>
      </c>
    </row>
    <row r="12" ht="15" customHeight="1" s="20">
      <c r="A12" s="33" t="inlineStr">
        <is>
          <t>0</t>
        </is>
      </c>
      <c r="B12" s="33" t="inlineStr">
        <is>
          <t>0</t>
        </is>
      </c>
      <c r="C12" s="33" t="inlineStr">
        <is>
          <t>✅ Go production</t>
        </is>
      </c>
    </row>
    <row r="13" ht="15" customHeight="1" s="20">
      <c r="A13" s="34" t="inlineStr">
        <is>
          <t>0</t>
        </is>
      </c>
      <c r="B13" s="34" t="inlineStr">
        <is>
          <t>≤ 2 documentées</t>
        </is>
      </c>
      <c r="C13" s="34" t="inlineStr">
        <is>
          <t>⚠ Go avec réserves (PV signé)</t>
        </is>
      </c>
    </row>
    <row r="14" ht="15" customHeight="1" s="20">
      <c r="A14" s="33" t="inlineStr">
        <is>
          <t>0</t>
        </is>
      </c>
      <c r="B14" s="33" t="inlineStr">
        <is>
          <t>&gt; 2</t>
        </is>
      </c>
      <c r="C14" s="33" t="inlineStr">
        <is>
          <t>❌ No-go, correctifs requis</t>
        </is>
      </c>
    </row>
    <row r="15" ht="15" customHeight="1" s="20">
      <c r="A15" s="34" t="inlineStr">
        <is>
          <t>≥ 1</t>
        </is>
      </c>
      <c r="B15" s="34" t="inlineStr">
        <is>
          <t>*</t>
        </is>
      </c>
      <c r="C15" s="34" t="inlineStr">
        <is>
          <t>❌ No-go absolu</t>
        </is>
      </c>
    </row>
  </sheetData>
  <mergeCells count="1">
    <mergeCell ref="A1:D1"/>
  </mergeCells>
  <conditionalFormatting sqref="A4:A7">
    <cfRule type="cellIs" rank="0" priority="2" equalAverage="0" operator="equal" aboveAverage="0" dxfId="0" text="" percent="0" bottom="0">
      <formula>"Bloquant"</formula>
    </cfRule>
    <cfRule type="cellIs" rank="0" priority="3" equalAverage="0" operator="equal" aboveAverage="0" dxfId="0" text="" percent="0" bottom="0">
      <formula>"Bloquant (sécurité)"</formula>
    </cfRule>
    <cfRule type="cellIs" rank="0" priority="4" equalAverage="0" operator="equal" aboveAverage="0" dxfId="0" text="" percent="0" bottom="0">
      <formula>"Bloquant (RGPD)"</formula>
    </cfRule>
    <cfRule type="cellIs" rank="0" priority="5" equalAverage="0" operator="equal" aboveAverage="0" dxfId="0" text="" percent="0" bottom="0">
      <formula>"Bloquante"</formula>
    </cfRule>
    <cfRule type="cellIs" rank="0" priority="6" equalAverage="0" operator="equal" aboveAverage="0" dxfId="1" text="" percent="0" bottom="0">
      <formula>"Haute"</formula>
    </cfRule>
    <cfRule type="cellIs" rank="0" priority="7" equalAverage="0" operator="equal" aboveAverage="0" dxfId="1" text="" percent="0" bottom="0">
      <formula>"Haute (sécurité)"</formula>
    </cfRule>
    <cfRule type="cellIs" rank="0" priority="8" equalAverage="0" operator="equal" aboveAverage="0" dxfId="1" text="" percent="0" bottom="0">
      <formula>"Majeur"</formula>
    </cfRule>
    <cfRule type="cellIs" rank="0" priority="9" equalAverage="0" operator="equal" aboveAverage="0" dxfId="1" text="" percent="0" bottom="0">
      <formula>"Majeure"</formula>
    </cfRule>
    <cfRule type="cellIs" rank="0" priority="10" equalAverage="0" operator="equal" aboveAverage="0" dxfId="2" text="" percent="0" bottom="0">
      <formula>"Moyenne"</formula>
    </cfRule>
    <cfRule type="cellIs" rank="0" priority="11" equalAverage="0" operator="equal" aboveAverage="0" dxfId="2" text="" percent="0" bottom="0">
      <formula>"Mineur"</formula>
    </cfRule>
    <cfRule type="cellIs" rank="0" priority="12" equalAverage="0" operator="equal" aboveAverage="0" dxfId="2" text="" percent="0" bottom="0">
      <formula>"Mineure"</formula>
    </cfRule>
    <cfRule type="cellIs" rank="0" priority="13" equalAverage="0" operator="equal" aboveAverage="0" dxfId="3" text="" percent="0" bottom="0">
      <formula>"Basse"</formula>
    </cfRule>
    <cfRule type="cellIs" rank="0" priority="14" equalAverage="0" operator="equal" aboveAverage="0" dxfId="3" text="" percent="0" bottom="0">
      <formula>"Cosmétique"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2026-05-05T08:00:31Z</dcterms:created>
  <dcterms:modified xmlns:dcterms="http://purl.org/dc/terms/" xmlns:xsi="http://www.w3.org/2001/XMLSchema-instance" xsi:type="dcterms:W3CDTF">2026-05-19T09:06:56Z</dcterms:modified>
  <cp:revision>0</cp:revision>
</cp:coreProperties>
</file>